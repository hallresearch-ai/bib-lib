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jphall/Workspace/bib-lib/bib_files/"/>
    </mc:Choice>
  </mc:AlternateContent>
  <xr:revisionPtr revIDLastSave="0" documentId="13_ncr:1_{777DA6B1-E28C-4443-BF78-E52319C116CE}" xr6:coauthVersionLast="47" xr6:coauthVersionMax="47" xr10:uidLastSave="{00000000-0000-0000-0000-000000000000}"/>
  <bookViews>
    <workbookView xWindow="2100" yWindow="980" windowWidth="25600" windowHeight="31660" xr2:uid="{00000000-000D-0000-FFFF-FFFF00000000}"/>
  </bookViews>
  <sheets>
    <sheet name="combine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42" i="1" l="1"/>
  <c r="N641" i="1"/>
  <c r="N640" i="1"/>
  <c r="N639" i="1"/>
  <c r="N638" i="1"/>
  <c r="N637" i="1"/>
  <c r="N636" i="1"/>
  <c r="N635" i="1"/>
  <c r="N634" i="1"/>
  <c r="N633" i="1"/>
  <c r="N632" i="1"/>
  <c r="N631" i="1"/>
  <c r="N630" i="1"/>
  <c r="N629" i="1"/>
  <c r="N628" i="1"/>
  <c r="N627" i="1"/>
  <c r="N626" i="1"/>
  <c r="N625" i="1"/>
  <c r="N624" i="1"/>
  <c r="N623" i="1"/>
  <c r="N622" i="1"/>
  <c r="N621" i="1"/>
  <c r="N620" i="1"/>
  <c r="N619" i="1"/>
  <c r="N618" i="1"/>
  <c r="N617" i="1"/>
  <c r="N616" i="1"/>
  <c r="N615" i="1"/>
  <c r="N614" i="1"/>
  <c r="N613" i="1"/>
  <c r="N612" i="1"/>
  <c r="N611" i="1"/>
  <c r="N610" i="1"/>
  <c r="N609" i="1"/>
  <c r="N608" i="1"/>
  <c r="N607" i="1"/>
  <c r="N606" i="1"/>
  <c r="N605" i="1"/>
  <c r="N604" i="1"/>
  <c r="N603" i="1"/>
  <c r="N602" i="1"/>
  <c r="N601" i="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2"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alcChain>
</file>

<file path=xl/sharedStrings.xml><?xml version="1.0" encoding="utf-8"?>
<sst xmlns="http://schemas.openxmlformats.org/spreadsheetml/2006/main" count="3894" uniqueCount="2820">
  <si>
    <t>abstract</t>
  </si>
  <si>
    <t>abstractnote</t>
  </si>
  <si>
    <t>address</t>
  </si>
  <si>
    <t>annote</t>
  </si>
  <si>
    <t>archiveprefix</t>
  </si>
  <si>
    <t>articleno</t>
  </si>
  <si>
    <t>author</t>
  </si>
  <si>
    <t>author1_email</t>
  </si>
  <si>
    <t>author1_url</t>
  </si>
  <si>
    <t>author2_email</t>
  </si>
  <si>
    <t>author2_url</t>
  </si>
  <si>
    <t>bdsk-url-1</t>
  </si>
  <si>
    <t>booktitle</t>
  </si>
  <si>
    <t>citation_key</t>
  </si>
  <si>
    <t>collection</t>
  </si>
  <si>
    <t>contact</t>
  </si>
  <si>
    <t>copyright</t>
  </si>
  <si>
    <t>date</t>
  </si>
  <si>
    <t>day</t>
  </si>
  <si>
    <t>doi</t>
  </si>
  <si>
    <t>edition</t>
  </si>
  <si>
    <t>editor</t>
  </si>
  <si>
    <t>entry_type</t>
  </si>
  <si>
    <t>eprint</t>
  </si>
  <si>
    <t>file</t>
  </si>
  <si>
    <t>howpublished</t>
  </si>
  <si>
    <t>institution</t>
  </si>
  <si>
    <t>isbn</t>
  </si>
  <si>
    <t>issn</t>
  </si>
  <si>
    <t>issue</t>
  </si>
  <si>
    <t>issue_date</t>
  </si>
  <si>
    <t>journal</t>
  </si>
  <si>
    <t>keywords</t>
  </si>
  <si>
    <t>language</t>
  </si>
  <si>
    <t>lccn</t>
  </si>
  <si>
    <t>location</t>
  </si>
  <si>
    <t>month</t>
  </si>
  <si>
    <t>note</t>
  </si>
  <si>
    <t>number</t>
  </si>
  <si>
    <t>numpages</t>
  </si>
  <si>
    <t>organization</t>
  </si>
  <si>
    <t>pages</t>
  </si>
  <si>
    <t>pmcid</t>
  </si>
  <si>
    <t>pmid</t>
  </si>
  <si>
    <t>primaryclass</t>
  </si>
  <si>
    <t>publisher</t>
  </si>
  <si>
    <t>rights</t>
  </si>
  <si>
    <t>series</t>
  </si>
  <si>
    <t>shorttitle</t>
  </si>
  <si>
    <t>title</t>
  </si>
  <si>
    <t>type</t>
  </si>
  <si>
    <t>url</t>
  </si>
  <si>
    <t>urldate</t>
  </si>
  <si>
    <t>volume</t>
  </si>
  <si>
    <t>year</t>
  </si>
  <si>
    <t>Donoho, D.</t>
  </si>
  <si>
    <t>10.1080/10618600.2017.1384734</t>
  </si>
  <si>
    <t>article</t>
  </si>
  <si>
    <t>Journal of Computational and Graphical Statistics</t>
  </si>
  <si>
    <t>745--766</t>
  </si>
  <si>
    <t>{50 Years of Data Science}</t>
  </si>
  <si>
    <t>https://doi.org/10.1080/10618600.2017.1384734</t>
  </si>
  <si>
    <t>Hutchinson, Ben and Mitchell, Margaret</t>
  </si>
  <si>
    <t>Proceedings of the Conference on Fairness, Accountability, and Transparency</t>
  </si>
  <si>
    <t>inproceedings</t>
  </si>
  <si>
    <t>URL: \url{https://arxiv.org/pdf/1811.10104.pdf}</t>
  </si>
  <si>
    <t>49--58</t>
  </si>
  <si>
    <t>50 {Y}ears of {T}est ({U}n) {F}airness: Lessons for {M}achine {L}earning</t>
  </si>
  <si>
    <t>Max S. Bennett</t>
  </si>
  <si>
    <t>book</t>
  </si>
  <si>
    <t>978-0063286344</t>
  </si>
  <si>
    <t>HarperCollins Publishers</t>
  </si>
  <si>
    <t>{A Brief History of Intelligence: Evolution, AI, and the Five Breakthroughs That Made Our Brains}</t>
  </si>
  <si>
    <t>https://www.harpercollins.com/products/a-brief-history-of-intelligence-max-s-bennett</t>
  </si>
  <si>
    <t>Abercrombie, Gavin and Benbouzid, Djalel and Giudici, Paolo and Golpayegani, Delaram and Hernandez, Julio and Noro, Pierre and Pandit, Harshvardhan and Paraschou, Eva and Pownall, Charlie and Prajapati, Jyoti and others</t>
  </si>
  <si>
    <t>arXiv preprint arXiv:2407.01294</t>
  </si>
  <si>
    <t>A collaborative, human-centred taxonomy of ai, algorithmic, and automation harms</t>
  </si>
  <si>
    <t>Friedler, Sorelle A. and Scheidegger, Carlos and Venkatasubramanian, Suresh and Choudhary, Sonam and Hamilton, Evan P. and Roth, Derek</t>
  </si>
  <si>
    <t>URL: \url{https://arxiv.org/pdf/1802.04422.pdf}</t>
  </si>
  <si>
    <t>ACM</t>
  </si>
  <si>
    <t>329--338</t>
  </si>
  <si>
    <t>A {C}omparative {S}tudy of {F}airness-enhancing {I}nterventions in {M}achine {L}earning</t>
  </si>
  <si>
    <t>Neural networks are ubiquitous in many tasks, but trusting their predictions is an open issue. Uncertainty quantification is required for many applications, and disentangled aleatoric and epistemic uncertainties are best. In this paper, we generalize methods to produce disentangled uncertainties to work with different uncertainty quantification methods, and evaluate their capability to produce disentangled uncertainties. Our results show that: there is an interaction between learning aleatoric and epistemic uncertainty, which is unexpected and violates assumptions on aleatoric uncertainty, some methods like Flipout produce zero epistemic uncertainty, aleatoric uncertainty is unreliable in the out-of-distribution setting, and Ensembles provide overall the best disentangling quality. We also explore the error produced by the number of samples hyper-parameter in the sampling softmax function, recommending N {\textgreater} 100 samples. We expect that our formulation and results help practitioners and researchers choose uncertainty methods and expand the use of disentangled uncertainties, as well as motivate additional research into this topic.</t>
  </si>
  <si>
    <t>Comment: 8 pages, 12 figures, with supplementary. LatinX in CV Workshop @ CVPR 2022 Camera Ready</t>
  </si>
  <si>
    <t>Valdenegro-Toro, Matias and Saromo, Daniel</t>
  </si>
  <si>
    <t>10.48550/arXiv.2204.09308</t>
  </si>
  <si>
    <t>misc</t>
  </si>
  <si>
    <t>Full Text PDF:C\:\\Users\\st3\\Zotero\\storage\\ERWN4MSE\\Valdenegro-Toro and Saromo - 2022 - A Deeper Look into Aleatoric and Epistemic Uncerta.pdf:application/pdf;Snapshot:C\:\\Users\\st3\\Zotero\\storage\\UMPG3AEP\\2204.html:text/html</t>
  </si>
  <si>
    <t>Computer Science - Computer Vision and Pattern Recognition, Computer Science - Machine Learning</t>
  </si>
  <si>
    <t>April</t>
  </si>
  <si>
    <t>arXiv:2204.09308 [cs]</t>
  </si>
  <si>
    <t>arXiv</t>
  </si>
  <si>
    <t>A {Deeper} {Look} into {Aleatoric} and {Epistemic} {Uncertainty} {Disentanglement}</t>
  </si>
  <si>
    <t>http://arxiv.org/abs/2204.09308</t>
  </si>
  <si>
    <t>Scientific Integrity Framework Interagency Working Group of the National Science and Technology Council</t>
  </si>
  <si>
    <t>techreport</t>
  </si>
  <si>
    <t>National Science and Technology Council</t>
  </si>
  <si>
    <t>A Framework for Federal Scientific Integrity Policy and Practice</t>
  </si>
  <si>
    <t>https://www.whitehouse.gov/wp-content/uploads/2023/01/01-2023-Framework-for-Federal-Scientific-Integrity-Policy-and-Practice.pdf</t>
  </si>
  <si>
    <t>Gao, L. and others</t>
  </si>
  <si>
    <t>\url{https://github.com/EleutherAI/lm-evaluation-harness}</t>
  </si>
  <si>
    <t>A Framework for Few-Shot Language Model Evaluation</t>
  </si>
  <si>
    <t>CFRFM</t>
  </si>
  <si>
    <t>\url{https://crfm.stanford.edu/helm/classic/latest/#/leaderboard}</t>
  </si>
  <si>
    <t>Accessed: 2025-07-14</t>
  </si>
  <si>
    <t>{A Holistic Framework for Evaluating Foundation Models - Leaderboard: Core scenarios}</t>
  </si>
  <si>
    <t>Emma Beede and Elizabeth Baylor and Fred Hersch and Anna Iurchenko and Lauren Wilcox and Paisan Ruamviboonsuk and Laura M. Vardoulakis</t>
  </si>
  <si>
    <t>Proceedings of the 2020 CHI conference on human factors in computing systems</t>
  </si>
  <si>
    <t>incollection</t>
  </si>
  <si>
    <t>pp. 1-12. 2020.</t>
  </si>
  <si>
    <t>A human-centered evaluation of a deep learning system deployed in clinics for the detection of diabetic retinopathy</t>
  </si>
  <si>
    <t>This work presents a life cycle for trustworthy and safe artificial intelligence systems (TAIS). We consider the application of a risk management framework (RMF) in the TAI life cycle, and how this affects the choices made during the various phases of AI system development. The emerging requirements for AI systems go beyond the traditional software engineering (SE) development cycle of design, develop and deploy (DDD), where test, evaluation, verification and validation (TEVV) plays a crucial role. In particular, the additional challenge in SE is that AI systems are, in general: (i) data-driven, (ii) can learn and (iii) are adaptive. Moreover, considerations of the impact of AI systems on users and wider society are essential to their trustworthy and safe deployment. In order to achieve a TAIS we also consider the measurement aspect, which manifests itself in the specification of quantifiable metrics capturing both technical and socio-technical principles of TAI that allow us to assess the trustworthiness of an AI system. The TAI life cycle is an iterative and continuous process, so that the AI system being developed is evolving and corrective action can be taken to deal with arising issues at any stage of the life cycle.</t>
  </si>
  <si>
    <t>Levene, M. and Adel, T. and Alsuleman, M. and George, I. and Krishnadas, P. and Lines, K. and Luo, Y. and Smith, I. and Duncan, P.</t>
  </si>
  <si>
    <t>Full Text PDF:C\:\\Users\\st3\\Zotero\\storage\\PCKX6P47\\Levene et al. - 2024 - A Life Cycle for Trustworthy and Safe Artificial I.pdf:application/pdf;Snapshot:C\:\\Users\\st3\\Zotero\\storage\\CY6NI3LR\\9995.html:text/html</t>
  </si>
  <si>
    <t>en</t>
  </si>
  <si>
    <t>ISSN: 1754-2960</t>
  </si>
  <si>
    <t>A {Life} {Cycle} for {Trustworthy} and {Safe} {Artificial} {Intelligence} {Systems}</t>
  </si>
  <si>
    <t>Report/{Guide}</t>
  </si>
  <si>
    <t>https://doi.org/10.47120/npl.MS57</t>
  </si>
  <si>
    <t>Papernot, Nicolas</t>
  </si>
  <si>
    <t>Proceedings of the 11th ACM Workshop on Artificial Intelligence and Security</t>
  </si>
  <si>
    <t>URL: \url{https://arxiv.org/pdf/1811.01134.pdf}</t>
  </si>
  <si>
    <t>A {M}arauder's {M}ap of {S}ecurity and {P}rivacy in {M}achine {L}earning: {A}n overview of current and future research directions for making machine learning secure and private</t>
  </si>
  <si>
    <t>Machine learning (ML) classification models are increasingly being used in a wide range of applications where it is important that predictions are accompanied by uncertainties, including in climate and earth observation, medical diagnosis and bioaerosol monitoring. The output of an ML classification model is a type of categorical variable known as a nominal property in the International Vocabulary of Metrology (VIM). However, concepts related to uncertainty evaluation for nominal properties are not defined in the VIM, nor is such evaluation addressed by the Guide to the Expression of Uncertainty in Measurement (GUM). In this paper we propose a metrological conceptual uncertainty evaluation framework for ML classification, and illustrate its use in the context of two applications that exemplify the issues and have significant societal impact, namely, climate and earth observation and medical diagnosis. Our framework would enable an extension of the VIM and GUM to uncertainty for nominal properties, which would make both applicable to ML classification models.</t>
  </si>
  <si>
    <t>Comment: 47 pages, 7 figures</t>
  </si>
  <si>
    <t>Bilson, Samuel and Cox, Maurice and Pustogvar, Anna and Thompson, Andrew</t>
  </si>
  <si>
    <t>10.48550/arXiv.2504.03359</t>
  </si>
  <si>
    <t>Full Text PDF:C\:\\Users\\st3\\Zotero\\storage\\3PZJ7IYZ\\Bilson et al. - 2025 - A metrological framework for uncertainty evaluatio.pdf:application/pdf;Snapshot:C\:\\Users\\st3\\Zotero\\storage\\LLJ5776Q\\2504.html:text/html</t>
  </si>
  <si>
    <t>Computer Science - Machine Learning</t>
  </si>
  <si>
    <t>May</t>
  </si>
  <si>
    <t>arXiv:2504.03359 [cs]</t>
  </si>
  <si>
    <t>A metrological framework for uncertainty evaluation in machine learning classification models</t>
  </si>
  <si>
    <t>http://arxiv.org/abs/2504.03359</t>
  </si>
  <si>
    <t>Cohen, Jacob</t>
  </si>
  <si>
    <t>Psychological Bulletin</t>
  </si>
  <si>
    <t>URL: \url{https://www.ime.usp.br/~abe/lista/pdfn45sGokvRe.pdf}</t>
  </si>
  <si>
    <t>American Psychological Association</t>
  </si>
  <si>
    <t>A {P}ower {P}rimer.</t>
  </si>
  <si>
    <t>Gill, Navdeep and Hall, Patrick and Montgomery, Kim and Schmidt, Nicholas</t>
  </si>
  <si>
    <t>Information</t>
  </si>
  <si>
    <t>URL: \url{https://www.mdpi.com/2078-2489/11/3/137}</t>
  </si>
  <si>
    <t>Multidisciplinary Digital Publishing Institute</t>
  </si>
  <si>
    <t>A {R}esponsible {M}achine {L}earning {W}orkflow with {F}ocus on {I}nterpretable {M}odels, {P}ost-hoc {E}xplanation, and {D}iscrimination {T}esting</t>
  </si>
  <si>
    <t>Walker, Guy H. and Stanton, Neville A. and Salmon, Paul M. and Jenkins, Daniel P.</t>
  </si>
  <si>
    <t>Theoretical issues in ergonomics science</t>
  </si>
  <si>
    <t>479--499</t>
  </si>
  <si>
    <t>Taylor \&amp; Francis</t>
  </si>
  <si>
    <t>A review of sociotechnical systems theory: a classic concept for new command and control paradigms</t>
  </si>
  <si>
    <t>Park, Sunghyun and Li, Han and Patel, Ameen and Mudgal, Sidharth and Lee, Sungjin and Kim, Young, Bum and Matsoukas, Spyros and Sarikaya, Ruhi</t>
  </si>
  <si>
    <t>arXiv preprint arXiv:2010.12251</t>
  </si>
  <si>
    <t>A scalable framework for learning from implicit user feedback to improve natural language understanding in large-scale conversational ai systems</t>
  </si>
  <si>
    <t>Alexandra Chouldechova and Chad Atalla and Solon Barocas and A. Feder Cooper and Emily Corvi and P. Alex Dow and Jean Garcia-Gathright and Nicholas Pangakis and Stefanie Reed and Emily Sheng and Dan Vann and Matthew Vogel and Hannah Washington and Hanna Wallach</t>
  </si>
  <si>
    <t>cs.CY</t>
  </si>
  <si>
    <t>A Shared Standard for Valid Measurement of Generative AI Systems' Capabilities, Risks, and Impacts</t>
  </si>
  <si>
    <t>https://arxiv.org/abs/2412.01934</t>
  </si>
  <si>
    <t>Pellegrino, Joan</t>
  </si>
  <si>
    <t>10.6028/NIST.AMS.100-1</t>
  </si>
  <si>
    <t>National Institute of Standards and Technology</t>
  </si>
  <si>
    <t>NIST AMS 100-1</t>
  </si>
  <si>
    <t>A Summary Report on the Model-Based Enterprise Capability Index and Guidebook Workshop</t>
  </si>
  <si>
    <t>Guidotti, Riccardo and Monreale, Anna and Ruggieri, Salvatore and Turini, Franco and Giannotti, Fosca and Pedreschi, Dino</t>
  </si>
  <si>
    <t>ACM Computing Surveys (CSUR)</t>
  </si>
  <si>
    <t>URL: \url{https://arxiv.org/pdf/1802.01933.pdf}</t>
  </si>
  <si>
    <t>{A} {S}urvey of {M}ethods for {E}xplaining {B}lack {B}ox {M}odels</t>
  </si>
  <si>
    <t>Liang, Zijing and Xu, Yanjie and Hong, Yifan and Shang, Penghui and Wang, Qi and Fu, Qiang and Liu, Ke</t>
  </si>
  <si>
    <t>Proceedings of the 3rd International Conference on Computer, Artificial Intelligence and Control Engineering</t>
  </si>
  <si>
    <t>405--409</t>
  </si>
  <si>
    <t>A Survey of Multimodel Large Language Models</t>
  </si>
  <si>
    <t>Mehrabi, Ninareh and Morstatter, Fred and Saxena, Nripsuta and Lerman, Kristina and Galstyan, Aram</t>
  </si>
  <si>
    <t>ACM computing surveys (CSUR)</t>
  </si>
  <si>
    <t>1--35</t>
  </si>
  <si>
    <t>ACM New York, NY, USA</t>
  </si>
  <si>
    <t>A Survey on Bias and Fairness in Machine Learning</t>
  </si>
  <si>
    <t>https://dl.acm.org/doi/pdf/10.1145/3457607</t>
  </si>
  <si>
    <t>Chang, Yupeng and Wang, Xu and Wang, Jindong and Wu, Yuan and Yang, Linyi and Zhu, Kaijie and Chen, Hao and Yi, Xiaoyuan and Wang, Cunxiang and Wang, Yidong and others</t>
  </si>
  <si>
    <t>ACM transactions on intelligent systems and technology</t>
  </si>
  <si>
    <t>1--45</t>
  </si>
  <si>
    <t>ACM New York, NY</t>
  </si>
  <si>
    <t>A survey on evaluation of large language models</t>
  </si>
  <si>
    <t>Huang, Lei and Yu, Weijiang and Ma, Weitao and Zhong, Weihong and Feng, Zhangyin and Wang, Haotian and Chen, Qianglong and Peng, Weihua and Feng, Xiaocheng and Qin, Bing and others</t>
  </si>
  <si>
    <t>ACM Transactions on Information Systems</t>
  </si>
  <si>
    <t>1--55</t>
  </si>
  <si>
    <t>{A Survey on Hallucination in Large Language Models: Principles, Taxonomy, Challenges, and Open Questions}</t>
  </si>
  <si>
    <t>https://dl.acm.org/doi/pdf/10.1145/3703155</t>
  </si>
  <si>
    <t>Hussein, Doaa Mohey El-Din Mohamed</t>
  </si>
  <si>
    <t>Journal of King Saud University-Engineering Sciences</t>
  </si>
  <si>
    <t>330--338</t>
  </si>
  <si>
    <t>Elsevier</t>
  </si>
  <si>
    <t>A survey on sentiment analysis challenges</t>
  </si>
  <si>
    <t>Friedman, Jerome H.</t>
  </si>
  <si>
    <t>Smoothing Techniques for Curve Estimation</t>
  </si>
  <si>
    <t>URL: \url{http://inspirehep.net/record/140963/files/slac-pub-2336.pdf}</t>
  </si>
  <si>
    <t>5--22</t>
  </si>
  <si>
    <t>Springer</t>
  </si>
  <si>
    <t>A {T}ree-structured {A}pproach to {N}onparametric {M}ultiple {R}egression</t>
  </si>
  <si>
    <t>Lundberg, Scott M and Lee, Su-In</t>
  </si>
  <si>
    <t>Advances in Neural Information Processing Systems 30</t>
  </si>
  <si>
    <t>I. Guyon and U. V. Luxburg and S. Bengio and H. Wallach and R. Fergus and S. Vishwanathan and R. Garnett</t>
  </si>
  <si>
    <t>4765--4774</t>
  </si>
  <si>
    <t>Curran Associates, Inc.</t>
  </si>
  <si>
    <t>A Unified Approach to Interpreting Model Predictions</t>
  </si>
  <si>
    <t>http://papers.nips.cc/paper/7062-a-unified-approach-to-interpreting-model-predictions.pdf</t>
  </si>
  <si>
    <t>Patrick Hall and Benjamin Cox and Steven Dickerson and Arjun Ravi Kannan and Raghu Kulkarni and  Nicholas Schmidt</t>
  </si>
  <si>
    <t>Frontiers in Artificial Intelligence</t>
  </si>
  <si>
    <t>URL: \url{https://www.frontiersin.org/articles/10.3389/frai.2021.695301/full}</t>
  </si>
  <si>
    <t>{A} {U}nited {S}tates {F}air {L}ending {P}erspective on {M}achine {L}earning</t>
  </si>
  <si>
    <t>Shapley, Lloyd S.</t>
  </si>
  <si>
    <t>Contributions to the Theory of Games</t>
  </si>
  <si>
    <t>URL: \url{http://www.library.fa.ru/files/Roth2.pdf\#page=39}</t>
  </si>
  <si>
    <t>307--317</t>
  </si>
  <si>
    <t>A {V}alue for {N}-{P}erson {G}ames</t>
  </si>
  <si>
    <t>Jane Elith and John R. Leathwick and Trevor Hastie</t>
  </si>
  <si>
    <t>http://onlinelibrary.wiley.com/doi/10.1111/j.1365-2656.2008.01390.x/abstract</t>
  </si>
  <si>
    <t>\textit{Journal of Animal Ecology}</t>
  </si>
  <si>
    <t>802-813</t>
  </si>
  <si>
    <t>A Working Guide to Boosted Regression Trees</t>
  </si>
  <si>
    <t>Lou, Yin and Caruana, Rich and Gehrke, Johannes and Hooker, Giles</t>
  </si>
  <si>
    <t>Proceedings of the 19th ACM SIGKDD International Conference on Knowledge Discovery and Data Mining</t>
  </si>
  <si>
    <t>URL: \url{http://citeseerx.ist.psu.edu/viewdoc/download?doi=10.1.1.352.7682&amp;rep=rep1&amp;type=pdf}</t>
  </si>
  <si>
    <t>623--631</t>
  </si>
  <si>
    <t>Accurate {I}ntelligible {M}odels with {P}airwise {I}nteractions</t>
  </si>
  <si>
    <t>Raji, Inioluwa Deborah and Buolamwini, Joy</t>
  </si>
  <si>
    <t>AAAI/ACM Conf. on AI Ethics and Society</t>
  </si>
  <si>
    <t>URL: \url{http://www.aies-conference.com/wp-content/uploads/2019/01/AIES-19_paper_223.pdf}</t>
  </si>
  <si>
    <t>Actionable {A}uditing: {I}nvestigating the {I}mpact of {P}ublicly {N}aming {B}iased {P}erformance {R}esults of {C}ommercial {A}{I} {P}roducts</t>
  </si>
  <si>
    <t>Matthew D. Zeiler</t>
  </si>
  <si>
    <t>http://arxiv.org/pdf/1212.5701v1.pdf</t>
  </si>
  <si>
    <t>ADADELTA: An Adaptive Learning Rate Method</t>
  </si>
  <si>
    <t>Hoffmann, M. and Frase, H.</t>
  </si>
  <si>
    <t>\url{https://cset.georgetown.edu/publication/adding-structure-to-ai-harm/}</t>
  </si>
  <si>
    <t>Adding Structure to AI Harm: An Introduction to CSET's AI Harm Framework</t>
  </si>
  <si>
    <t>Jerome Friedman and Trevor Hastie and Robert Tibshirani</t>
  </si>
  <si>
    <t>http://projecteuclid.org/DPubS?service=UI&amp;version=1.0&amp;verb=Display&amp;handle=%20euclid.aos/1016218223</t>
  </si>
  <si>
    <t>\textit{Annals of Statistics}</t>
  </si>
  <si>
    <t>Additive Logistic Regression: a Statistical View of Boosting</t>
  </si>
  <si>
    <t>http://projecteuclid.org/DPubS?service=UI&amp;version=1.0&amp;verb=Display&amp;handle= euclid.aos/1016218223</t>
  </si>
  <si>
    <t>CFPB</t>
  </si>
  <si>
    <t>Adverse Action Notification Requirements In Connection With Credit Decisions Based On Complex Algorithms</t>
  </si>
  <si>
    <t>https://www.consumerfinance.gov/compliance/circulars/circular-2022-03-adverse-action-notification-requirements-in-connection-with-credit-decisions-based-on-complex-algorithms/</t>
  </si>
  <si>
    <t>FHFA</t>
  </si>
  <si>
    <t>Federal Housing Finance Agency</t>
  </si>
  <si>
    <t>December</t>
  </si>
  <si>
    <t>Advisory Bulletin 2022-03: Supplemental Guidance to AB 2013-07 -- Model Risk Management Guidance</t>
  </si>
  <si>
    <t>https://www.fhfa.gov/advisory-bulletin/AB-2022-03</t>
  </si>
  <si>
    <t>Jessica Dai and Inioluwa Deborah Raji and Benjamin Recht and Irene Y. Chen</t>
  </si>
  <si>
    <t>arXiv preprint</t>
  </si>
  <si>
    <t>arXiv:2506.18133.</t>
  </si>
  <si>
    <t>Aggregated individual reporting for post-deployment evaluation</t>
  </si>
  <si>
    <t>NIST</t>
  </si>
  <si>
    <t>nist.gov</t>
  </si>
  <si>
    <t>\url{https://nvlpubs.nist.gov/nistpubs/ai/NIST.AI.600-1.pdf}</t>
  </si>
  <si>
    <t>AI 600-1, Generative AI Risk Profile</t>
  </si>
  <si>
    <t>Kraprayoon, Jam and Williams, Zoe and Fayyaz, Rida</t>
  </si>
  <si>
    <t>arXiv preprint arXiv:2505.21808</t>
  </si>
  <si>
    <t>{AI Agent Governance: A Field Guide}</t>
  </si>
  <si>
    <t>https://arxiv.org/pdf/2505.21808</t>
  </si>
  <si>
    <t>Raji, Deborah and Denton, Emily and Bender, Emily M. and Hanna, Alex and Paullada, Amandalynne</t>
  </si>
  <si>
    <t>Proceedings of the Neural Information Processing Systems Track on Datasets and Benchmarks</t>
  </si>
  <si>
    <t>J. Vanschoren and S. Yeung</t>
  </si>
  <si>
    <t>{AI and the Everything in the Whole Wide World Benchmark}</t>
  </si>
  <si>
    <t>https://datasets-benchmarks-proceedings.neurips.cc/paper_files/paper/2021/file/084b6fbb10729ed4da8c3d3f5a3ae7c9-Paper-round2.pdf</t>
  </si>
  <si>
    <t>Brennen, Andrea and Ashley, Ryan and Calix, Ricardo and Ben-Joseph, JJ and Sieniawski, George and Gogia, Mona and BNH.AI</t>
  </si>
  <si>
    <t>IQT Labs</t>
  </si>
  <si>
    <t>A{I} {A}ssurance {A}udit of {R}o{BERT}a, an {O}pen source, {P}retrained {L}arge {L}anguage {M}odel</t>
  </si>
  <si>
    <t>https://assets.iqt.org/pdfs/IQTLabs_RoBERTaAudit_Dec2022_final.pdf/web/viewer.html</t>
  </si>
  <si>
    <t>Rachel K. E. Bellamy and Kuntal Dey and Michael Hind and
Samuel C. Hoffman and Stephanie Houde and Kalapriya Kannan and
Pranay Lohia and Jacquelyn Martino and Sameep Mehta and
Aleksandra Mojsilovic and Seema Nagar and Karthikeyan Natesan Ramamurthy and
John Richards and Diptikalyan Saha and Prasanna Sattigeri and
Moninder Singh and Kush R. Varshney and Yunfeng Zhang</t>
  </si>
  <si>
    <t>October</t>
  </si>
  <si>
    <t>{AI Fairness} 360:  An Extensible Toolkit for Detecting, Understanding, and Mitigating Unwanted Algorithmic Bias</t>
  </si>
  <si>
    <t>https://arxiv.org/abs/1810.01943</t>
  </si>
  <si>
    <t>Hofmann, Valentin and Kalluri, Pratyusha Ria and Jurafsky, Dan and King, Sharese</t>
  </si>
  <si>
    <t>Nature</t>
  </si>
  <si>
    <t>1--8</t>
  </si>
  <si>
    <t>Nature Publishing Group UK London</t>
  </si>
  <si>
    <t>{AI} generates covertly racist decisions about people based on their dialect</t>
  </si>
  <si>
    <t>{Responsible AI Collaborative}</t>
  </si>
  <si>
    <t>AI Incident Database</t>
  </si>
  <si>
    <t>https://incidentdatabase.ai/</t>
  </si>
  <si>
    <t>Coldicutt, Rachel</t>
  </si>
  <si>
    <t>Harvard Data Science Review</t>
  </si>
  <si>
    <t>AI safety is a narrative problem</t>
  </si>
  <si>
    <t>David Leslie and Cami Rincon and Morgan Briggs and others</t>
  </si>
  <si>
    <t>https://aiethics.turing.ac.uk/modules/sustainability-1/</t>
  </si>
  <si>
    <t>AI Sustainability in Practice Part One: Foundations for Sustainable AI Projects</t>
  </si>
  <si>
    <t>Theofanos, M. and Choong, Y. and Jensen, T.</t>
  </si>
  <si>
    <t>10.6028/NIST.AI.200-1</t>
  </si>
  <si>
    <t>National Institute of Standards and Technology, Gaithersburg, MD</t>
  </si>
  <si>
    <t>NIST AI 200-1</t>
  </si>
  <si>
    <t>AI Use Taxonomy: A Human-Centered Approach</t>
  </si>
  <si>
    <t>https://doi.org/10.6028/NIST.AI.200-1</t>
  </si>
  <si>
    <t>Su, Zhe and Zhou, Xuhui and Rangreji, Sanketh and Kabra, Anubha and Mendelsohn, Julia and Brahman, Faeze and Sap, Maarten</t>
  </si>
  <si>
    <t>Proceedings of the 2025 Conference of the Nations of the Americas Chapter of the Association for Computational Linguistics: Human Language Technologies (Volume 1: Long Papers)</t>
  </si>
  <si>
    <t>11867--11894</t>
  </si>
  <si>
    <t>{AI-LIEDAR: Examine the trade-off between utility and truthfulness in LLM agents}</t>
  </si>
  <si>
    <t>https://aclanthology.org/2025.naacl-long.595.pdf</t>
  </si>
  <si>
    <t>Hasan, Ali and Brown, Shea and Davidovic, Jovana and Lange, Benjamin and Regan, Mitt</t>
  </si>
  <si>
    <t>Digital Society</t>
  </si>
  <si>
    <t>URL: \url{https://philpapers.org/archive/HASABA.pdf}</t>
  </si>
  <si>
    <t>Algorithmic {B}ias and {R}isk {A}ssessments: {L}essons from {P}ractice</t>
  </si>
  <si>
    <t>Reisman, Dillon and Schultz, Jason and Crawford, Kate and Whittaker, Meredith</t>
  </si>
  <si>
    <t>AI Now</t>
  </si>
  <si>
    <t>{Algorithmic Impact Assessments: A Practical Framework for Public Agency}</t>
  </si>
  <si>
    <t>https://www.nist.gov/system/files/documents/2021/10/04/aiareport2018.pdf</t>
  </si>
  <si>
    <t>Wallace, Eric and Tuyls, Jens and Wang, Junlin and Subramanian, Sanjay and Gardner, Matt and Singh, Sameer</t>
  </si>
  <si>
    <t>arXiv preprint arXiv:1909.09251</t>
  </si>
  <si>
    <t>URL: \url{https://arxiv.org/pdf/1909.09251.pdf}</t>
  </si>
  <si>
    <t>AllenNLP Interpret: A Framework for Explaining Predictions of NLP Models</t>
  </si>
  <si>
    <t>Gallup and Telescope Foundation</t>
  </si>
  <si>
    <t>Americans Use AI in Everyday Products Without Realizing It</t>
  </si>
  <si>
    <t>https://www.telescopegp.com/insights/americans-use-ai-in-everyday-products-without-realizing-it</t>
  </si>
  <si>
    <t>Kononenko, Igor and others</t>
  </si>
  <si>
    <t>Journal of Machine Learning Research</t>
  </si>
  <si>
    <t>URL: \url{http://www.jmlr.org/papers/volume11/strumbelj10a/strumbelj10a.pdf}</t>
  </si>
  <si>
    <t>Jan</t>
  </si>
  <si>
    <t>1--18</t>
  </si>
  <si>
    <t>An {E}fficient {E}xplanation of {I}ndividual {C}lassifications {U}sing {G}ame {T}heory</t>
  </si>
  <si>
    <t>Hall, Patrick and Silva, Jorge and Kabul, Ilknur Kaynar and Holdaway, Keith and Chien, Alex</t>
  </si>
  <si>
    <t>Proceedings of SAS Global Forum</t>
  </si>
  <si>
    <t>URL: \url{https://pdfs.semanticscholar.org/f3fd/f7815ffbef2e06d57c1b8c8705091bf3d12a.pdf}</t>
  </si>
  <si>
    <t>SAS Institute, Cary, NC</t>
  </si>
  <si>
    <t>An {E}fficient {P}attern {R}ecognition {A}pproach with {A}pplications</t>
  </si>
  <si>
    <t>Lamba, Hemank and Rodolfa, Kit T. and Ghani, Rayid</t>
  </si>
  <si>
    <t>ACM SIGKDD Explorations Newsletter</t>
  </si>
  <si>
    <t>69--85</t>
  </si>
  <si>
    <t>{An Empirical Comparison of Bias Reduction Methods on Real-world Problems in High-stakes Policy Settings}</t>
  </si>
  <si>
    <t>https://dl.acm.org/doi/pdf/10.1145/3468507.3468518</t>
  </si>
  <si>
    <t>de Wynter, A. and others</t>
  </si>
  <si>
    <t>10.1016/j.nlp.2023.100024</t>
  </si>
  <si>
    <t>Natural Language Processing Journal</t>
  </si>
  <si>
    <t>An evaluation on large language model outputs: Discourse and memorization</t>
  </si>
  <si>
    <t>https://doi.org/10.1016/j.nlp.2023.100024</t>
  </si>
  <si>
    <t>Schmidt, Nicholas and Stephens, Bryce</t>
  </si>
  <si>
    <t>Conference on Consumer Finance Law Quarterly Report</t>
  </si>
  <si>
    <t>URL: \url{https://arxiv.org/pdf/1911.05755.pdf}</t>
  </si>
  <si>
    <t>130--144</t>
  </si>
  <si>
    <t>An {I}ntroduction to {A}rtificial {I}ntelligence and {S}olutions to the {P}roblems of {A}lgorithmic {D}iscrimination</t>
  </si>
  <si>
    <t>Hall, Patrick and Gill, Navdeep</t>
  </si>
  <si>
    <t>URL: \url{https://www.h2o.ai/wp-content/uploads/2019/08/An-Introduction-to-Machine-Learning-Interpretability-Second-Edition.pdf}</t>
  </si>
  <si>
    <t>O'Reilly Media</t>
  </si>
  <si>
    <t>An {I}ntroduction to {M}achine {L}earning {I}nterpretability: {A}n {A}pplied {P}erspective on {F}airness, {A}ccountability, {T}ransparency, and {E}xplainable {A}{I}, 2\textsuperscript{nd} {E}dition</t>
  </si>
  <si>
    <t>Hall, Patrick and Dean, Jared and Kabul, Ilknur Kaynar and Silva, Jorge</t>
  </si>
  <si>
    <t>URL: \url{http://citeseerx.ist.psu.edu/viewdoc/download?doi=10.1.1.648.3176&amp;rep=rep1&amp;type=pdf}</t>
  </si>
  <si>
    <t>An {O}verview of {M}achine {L}earning with {S}{A}{S} {E}nterprise {M}iner</t>
  </si>
  <si>
    <t>Lipovetsky, Stan and Conklin, Michael</t>
  </si>
  <si>
    <t>Applied Stochastic Models in Business and Industry</t>
  </si>
  <si>
    <t>319--330</t>
  </si>
  <si>
    <t>Wiley Online Library</t>
  </si>
  <si>
    <t>Analysis of {R}egression in {G}ame {T}heory {A}pproach</t>
  </si>
  <si>
    <t>Machine learning (ML) models are increasingly being used in metrology applications. However, for ML models to be credible in a metrology context they should be accompanied by principled uncertainty quantification. This paper addresses the challenge of uncertainty propagation through trained/fixed machine learning (ML) regression models. Analytical expressions for the mean and variance of the model output are obtained/presented for certain input data distributions and for a variety of ML models. Our results cover several popular ML models including linear regression, penalised linear regression, kernel ridge regression, Gaussian Processes (GPs), support vector machines (SVMs) and relevance vector machines (RVMs). We present numerical experiments in which we validate our methods and compare them with a Monte Carlo approach from a computational efficiency point of view. We also illustrate our methods in the context of a metrology application, namely modelling the state-of-health of lithium-ion cells based upon Electrical Impedance Spectroscopy (EIS) data</t>
  </si>
  <si>
    <t>Thompson, Andrew</t>
  </si>
  <si>
    <t>10.48550/arXiv.2404.11224</t>
  </si>
  <si>
    <t>Full Text PDF:C\:\\Users\\st3\\Zotero\\storage\\ZWJDCB2S\\Thompson - 2024 - Analytical results for uncertainty propagation thr.pdf:application/pdf;Snapshot:C\:\\Users\\st3\\Zotero\\storage\\A7MW4TDZ\\2404.html:text/html</t>
  </si>
  <si>
    <t>Computer Science - Machine Learning, Statistics - Machine Learning</t>
  </si>
  <si>
    <t>arXiv:2404.11224 [cs]</t>
  </si>
  <si>
    <t>Analytical results for uncertainty propagation through trained machine learning regression models</t>
  </si>
  <si>
    <t>http://arxiv.org/abs/2404.11224</t>
  </si>
  <si>
    <t>Bou-Franch, Patricia and Blitvich, Pilar Garc{\'e}s-Conejos</t>
  </si>
  <si>
    <t>Analyzing digital discourse: New insights and future directions</t>
  </si>
  <si>
    <t>Ribeiro, Marco Tulio and Singh, Sameer and Guestrin, Carlos</t>
  </si>
  <si>
    <t>{AAAI} {C}onference on {A}rtificial {I}ntelligence</t>
  </si>
  <si>
    <t>URL: \url{https://homes.cs.washington.edu/~marcotcr/aaai18.pdf}</t>
  </si>
  <si>
    <t>Anchors: High-{P}recision {M}odel-agnostic {E}xplanations</t>
  </si>
  <si>
    <t>Hayes, Andrew F. and Krippendorff, Klaus</t>
  </si>
  <si>
    <t>Communication methods and measures</t>
  </si>
  <si>
    <t>77--89</t>
  </si>
  <si>
    <t>Answering the call for a standard reliability measure for coding data</t>
  </si>
  <si>
    <t>https://doi.org/10.1080/19312450709336664</t>
  </si>
  <si>
    <t>Hubinger, Evan</t>
  </si>
  <si>
    <t>SuperIntelligence-Robotics-Safety \&amp; Alignment</t>
  </si>
  <si>
    <t>{Anthropic: Responsible Scaling Policy}</t>
  </si>
  <si>
    <t>Bertrand, M. and Mullainathan, S.</t>
  </si>
  <si>
    <t>The American Economic Review</t>
  </si>
  <si>
    <t>991--1013</t>
  </si>
  <si>
    <t>Are Emily and Greg more employable than Lakisha and Jamal? A field experiment on labor market discrimination</t>
  </si>
  <si>
    <t>https://www.jstor.org/stable/3592802</t>
  </si>
  <si>
    <t>Albert Webson and Alyssa Marie Loo and Qinan Yu and Ellie Pavlick</t>
  </si>
  <si>
    <t>cs.CL</t>
  </si>
  <si>
    <t>Are Language Models Worse than Humans at Following Prompts? It's Complicated</t>
  </si>
  <si>
    <t>https://arxiv.org/abs/2301.07085</t>
  </si>
  <si>
    <t>Liao, Thomas and Taori, Rohan and Raji, Deborah and Schmidt, Ludwig</t>
  </si>
  <si>
    <t>Are We Learning Yet? A Meta Review of Evaluation Failures Across Machine Learning</t>
  </si>
  <si>
    <t>https://datasets-benchmarks-proceedings.neurips.cc/paper_files/paper/2021/file/757b505cfd34c64c85ca5b5690ee5293-Paper-round2.pdf</t>
  </si>
  <si>
    <t>Alkaissi, Hussam and McFarlane, Samy I.</t>
  </si>
  <si>
    <t>Cureus</t>
  </si>
  <si>
    <t>{Artificial Hallucinations in ChatGPT: Implications in Scientific Writing}</t>
  </si>
  <si>
    <t>https://pubmed.ncbi.nlm.nih.gov/36811129/</t>
  </si>
  <si>
    <t>Russell, Stuart J.</t>
  </si>
  <si>
    <t>URL: \url{https://aima.cs.berkeley.edu/}</t>
  </si>
  <si>
    <t>Pearson Education, Inc.</t>
  </si>
  <si>
    <t>Artificial {I}ntelligence {A} {M}odern {A}pproach</t>
  </si>
  <si>
    <t>EU</t>
  </si>
  <si>
    <t>European Union</t>
  </si>
  <si>
    <t>Artificial Intelligence Act: Annexes</t>
  </si>
  <si>
    <t>https://eur-lex.europa.eu/legal-content/EN/TXT/?uri=CELEX:32024R1689</t>
  </si>
  <si>
    <t>Ensuring diagnostic performance of artificial intelligence (AI) before introduction into clinical practice is essential. Growing numbers of studies using AI for digital pathology have been reported over recent years. The aim of this work is to examine the diagnostic accuracy of AI in digital pathology images for any disease. This systematic review and meta-analysis included diagnostic accuracy studies using any type of AI applied to whole slide images (WSIs) for any disease. The reference standard was diagnosis by histopathological assessment and/or immunohistochemistry. Searches were conducted in PubMed, EMBASE and CENTRAL in June 2022. Risk of bias and concerns of applicability were assessed using the QUADAS-2 tool. Data extraction was conducted by two investigators and meta-analysis was performed using a bivariate random effects model, with additional subgroup analyses also performed. Of 2976 identified studies, 100 were included in the review and 48 in the meta-analysis. Studies were from a range of countries, including over 152,000 whole slide images (WSIs), representing many diseases. These studies reported a mean sensitivity of 96.3\% (CI 94.1–97.7) and mean specificity of 93.3\% (CI 90.5–95.4). There was heterogeneity in study design and 99\% of studies identified for inclusion had at least one area at high or unclear risk of bias or applicability concerns. Details on selection of cases, division of model development and validation data and raw performance data were frequently ambiguous or missing. AI is reported as having high diagnostic accuracy in the reported areas but requires more rigorous evaluation of its performance.</t>
  </si>
  <si>
    <t>McGenity, Clare and Clarke, Emily L. and Jennings, Charlotte and Matthews, Gillian and Cartlidge, Caroline and Freduah-Agyemang, Henschel and Stocken, Deborah D. and Treanor, Darren</t>
  </si>
  <si>
    <t>2024 The Author(s)</t>
  </si>
  <si>
    <t>10.1038/s41746-024-01106-8</t>
  </si>
  <si>
    <t>2398-6352</t>
  </si>
  <si>
    <t>npj Digital Medicine</t>
  </si>
  <si>
    <t>Medical imaging, Pathogenesis</t>
  </si>
  <si>
    <t>Publisher: Nature Publishing Group</t>
  </si>
  <si>
    <t>1--19</t>
  </si>
  <si>
    <t>Artificial intelligence in digital pathology</t>
  </si>
  <si>
    <t>Artificial intelligence in digital pathology: a systematic review and meta-analysis of diagnostic test accuracy</t>
  </si>
  <si>
    <t>https://www.nature.com/articles/s41746-024-01106-8</t>
  </si>
  <si>
    <t>FINRA</t>
  </si>
  <si>
    <t>Financial Industry Regulatory Authority</t>
  </si>
  <si>
    <t>June</t>
  </si>
  <si>
    <t>Artificial Intelligence in the Securities Industry</t>
  </si>
  <si>
    <t>https://www.finra.org/sites/default/files/2020-06/ai-report-061020.pdf</t>
  </si>
  <si>
    <t>Mugdal, Yogesh et al.</t>
  </si>
  <si>
    <t>URL: \url{https://ai.wharton.upenn.edu/artificial-intelligence-risk-governance/}</t>
  </si>
  <si>
    <t>Wharton School of Business</t>
  </si>
  <si>
    <t>Artificial Intelligence Risk \&amp; Governance</t>
  </si>
  <si>
    <t>{NIST}</t>
  </si>
  <si>
    <t>U.S. Department of Commerce</t>
  </si>
  <si>
    <t>NIST AI 100-1</t>
  </si>
  <si>
    <t>Artificial Intelligence Risk Management Framework (AI RMF 1.0)</t>
  </si>
  <si>
    <t>https://doi.org/10.6028/NIST.AI.100-1</t>
  </si>
  <si>
    <t>Chloe Autio and Reva Schwartz and Jesse Dunietz and Shomik Jain and Martin Stanley and Elham Tabassi and Patrick Hall and Kamie Roberts</t>
  </si>
  <si>
    <t>https://doi.org/10.6028/NIST.AI.600-1</t>
  </si>
  <si>
    <t>NIST Trustworthy and Responsible AI, National Institute of Standards and Technology, Gaithersburg, MD</t>
  </si>
  <si>
    <t>Artificial Intelligence Risk Management Framework: Generative Artificial Intelligence Profile</t>
  </si>
  <si>
    <t>https://tsapps.nist.gov/publication/get_pdf.cfm?pub_id=958388</t>
  </si>
  <si>
    <t>Russell, Stuart and Norvig, Peter</t>
  </si>
  <si>
    <t>978-0134610993</t>
  </si>
  <si>
    <t>Pearson</t>
  </si>
  <si>
    <t>Artificial Intelligence: A Modern Approach, 4th US Ed.</t>
  </si>
  <si>
    <t>http://aima.cs.berkeley.edu/index.html</t>
  </si>
  <si>
    <t>Chiu, Tai-Yin and Zhao, Yinan and Gurari, Danna</t>
  </si>
  <si>
    <t>Proceedings of the IEEE/CVF conference on computer vision and pattern recognition</t>
  </si>
  <si>
    <t>3646--3656</t>
  </si>
  <si>
    <t>{Assessing Image Quality Issues for Real-world Problems}</t>
  </si>
  <si>
    <t>https://openaccess.thecvf.com/content_CVPR_2020/papers/Chiu_Assessing_Image_Quality_Issues_for_Real-World_Problems_CVPR_2020_paper.pdf</t>
  </si>
  <si>
    <t>Amironesei, Razvan and Godil, Afzal and Greenberg, Craig and Greene, Kristen and Hall, Patrick and Jensen, Theodore and Fiscus, Jonathan and Schulman, Noah</t>
  </si>
  <si>
    <t>AI 700-2</t>
  </si>
  <si>
    <t>Assessing Risks and Impacts of AI (ARIA): {ARIA} 0.1 Pilot Evaluation Report</t>
  </si>
  <si>
    <t>https://nvlpubs.nist.gov/nistpubs/ai/NIST.AI.700-2.pdf</t>
  </si>
  <si>
    <t>Friedler, Sorelle A. and Roy, Chitradeep Dutta and Scheidegger, Carlos and Slack, Dylan</t>
  </si>
  <si>
    <t>arXiv preprint arXiv:1902.03501</t>
  </si>
  <si>
    <t>URL: \url{https://arxiv.org/pdf/1902.03501.pdf}</t>
  </si>
  <si>
    <t>{A}ssessing the {L}ocal {I}nterpretability of {M}achine {L}earning {M}odels</t>
  </si>
  <si>
    <t>West Conshohocken, PA</t>
  </si>
  <si>
    <t>ASTM International</t>
  </si>
  <si>
    <t>10.1520/E3012-16</t>
  </si>
  <si>
    <t>{ASTM E3012-16 - Standard Guide for Characterizing Environmental Aspects of Manufacturing Processes}</t>
  </si>
  <si>
    <t>Frye, Christopher and Rowat, Colin and Feige, Ilya</t>
  </si>
  <si>
    <t>Advances in Neural Information Processing Systems</t>
  </si>
  <si>
    <t>URL: \url{https://arxiv.org/pdf/1910.06358.pdf}</t>
  </si>
  <si>
    <t>Asymmetric {S}hapley {V}alues: {I}ncorporating {C}ausal {K}nowledge into {M}odel-agnostic {E}xplainability</t>
  </si>
  <si>
    <t>Bogucka, Edyta and {\v{S}}{\'c}epanovi{\'c}, Sanja and Quercia, Daniele</t>
  </si>
  <si>
    <t>Proceedings of the AAAI Conference on Human Computation and Crowdsourcing</t>
  </si>
  <si>
    <t>33--43</t>
  </si>
  <si>
    <t>Atlas of AI Risks: Enhancing Public Understanding of AI Risks</t>
  </si>
  <si>
    <t>Vaswani, Ashish and Shazeer, Noam and Parmar, Niki and Uszkoreit, Jakob and Jones, Llion and Gomez, Aidan N. and Kaiser, \L ukasz and Polosukhin, Illia</t>
  </si>
  <si>
    <t>I. Guyon and U. Von Luxburg and S. Bengio and H. Wallach and R. Fergus and S. Vishwanathan and R. Garnett</t>
  </si>
  <si>
    <t>URL: \url{https://proceedings.neurips.cc/paper_files/paper/2017/file/3f5ee243547dee91fbd053c1c4a845aa-Paper.pdf}</t>
  </si>
  <si>
    <t>Attention is All you Need</t>
  </si>
  <si>
    <t>Kim, Chris Dongjoo and Kim, Byeongchang and Lee, Hyunmin and Kim, Gunhee</t>
  </si>
  <si>
    <t>NAACL-HLT</t>
  </si>
  <si>
    <t>AudioCaps: Generating Captions for Audios in The Wild</t>
  </si>
  <si>
    <t>Hall, P. and Atherton, D.</t>
  </si>
  <si>
    <t>\url{https://github.com/jphall663/awesome-machine-learning-interpretability}</t>
  </si>
  <si>
    <t>Awesome Machine Learning Interpretability</t>
  </si>
  <si>
    <t>Sergey Ioffe and Christian Szegedy</t>
  </si>
  <si>
    <t>https://arxiv.org/pdf/1502.03167.pdf</t>
  </si>
  <si>
    <t>Batch Normalization: Accelerating Deep Network Training by Reducing Internal Covariate Shift</t>
  </si>
  <si>
    <t>Pearl, Judea</t>
  </si>
  <si>
    <t>URL: \url{https://escholarship.org/uc/item/53n4f34m}</t>
  </si>
  <si>
    <t>{B}ayesian {N}etworks</t>
  </si>
  <si>
    <t>Parrish, Alicia and Chen, Angelica and Nangia, Nikita and Padmakumar, Vishakh and Phang, Jason and Thompson, Jana and Htut, Phu Mon and Bowman, Samuel R.</t>
  </si>
  <si>
    <t>arXiv preprint arXiv:2110.08193</t>
  </si>
  <si>
    <t>{BBQ: A Hand-Built Bias Benchmark for Question Answering}</t>
  </si>
  <si>
    <t>https://arxiv.org/pdf/2110.08193</t>
  </si>
  <si>
    <t>Tversky, Amos and Kahneman, Daniel</t>
  </si>
  <si>
    <t>Psychological bulletin</t>
  </si>
  <si>
    <t>{Belief in the Law of Small Numbers}</t>
  </si>
  <si>
    <t>Devlin, Jacob and Chang, Ming-Wei and Lee, Kenton and Toutanova, Kristina</t>
  </si>
  <si>
    <t>Proceedings of the 2019 Conference of the North American Chapter of the Association for Computational Linguistics: Human Language Technologies, Volume 1 (Long and Short Papers)</t>
  </si>
  <si>
    <t>4171--4186</t>
  </si>
  <si>
    <t>{BERT: Pre-Training of Deep Bidirectional Transformers for Language Understanding}</t>
  </si>
  <si>
    <t>https://aclanthology.org/N19-1423.pdf</t>
  </si>
  <si>
    <t>Wujek, Brett and Hall, Patrick and G{\"u}nes, Funda</t>
  </si>
  <si>
    <t>URL: \url{https://support.sas.com/resources/papers/proceedings16/SAS2360-2016.pdf}</t>
  </si>
  <si>
    <t>Best {P}ractices for {M}achine {L}earning {A}pplications</t>
  </si>
  <si>
    <t>Robin Staab and Mark Vero and Mislav Balunović and Martin Vechev</t>
  </si>
  <si>
    <t>cs.AI</t>
  </si>
  <si>
    <t>Beyond Memorization: Violating Privacy Via Inference with Large Language Models</t>
  </si>
  <si>
    <t>https://arxiv.org/abs/2310.07298</t>
  </si>
  <si>
    <t>Marco AF Pimentel and Clément Christophe and Tathagata Raha and Prateek Munjal and Praveen K Kanithi and Shadab Khan</t>
  </si>
  <si>
    <t>Beyond Metrics: A Critical Analysis of the Variability in Large Language Model Evaluation Frameworks</t>
  </si>
  <si>
    <t>https://arxiv.org/abs/2407.21072</t>
  </si>
  <si>
    <t>Zhi-Xuan, Tan and Carroll, Micah and Franklin, Matija and Ashton, Hal</t>
  </si>
  <si>
    <t>arXiv preprint arXiv:2408.16984</t>
  </si>
  <si>
    <t>Beyond Preferences in {AI} Alignment</t>
  </si>
  <si>
    <t>Srivastava, A. and others</t>
  </si>
  <si>
    <t>Beyond the Imitation Game: Quantifying and extrapolating the capabilities of language models</t>
  </si>
  <si>
    <t>https://arxiv.org/abs/2206.04615</t>
  </si>
  <si>
    <t>Gallegos, Isabel O. and Rossi, Ryan A. and Barrow, Joe and Tanjim, Md Mehrab and Kim, Sungchul and Dernoncourt, Franck and Yu, Tong and Zhang, Ruiyi and Ahmed, Nesreen K.</t>
  </si>
  <si>
    <t>Computational Linguistics</t>
  </si>
  <si>
    <t>1097--1179</t>
  </si>
  <si>
    <t>MIT Press 255 Main Street, 9th Floor, Cambridge, Massachusetts 02142, USA</t>
  </si>
  <si>
    <t>Bias and Fairness in Large Language Models: A Survey</t>
  </si>
  <si>
    <t>https://direct.mit.edu/coli/article/50/3/1097/121961</t>
  </si>
  <si>
    <t>{Embrace The Red}</t>
  </si>
  <si>
    <t>\url{https://embracethered.com/blog/posts/2023/bing-chat-data-exfiltration-poc-and-fix/}</t>
  </si>
  <si>
    <t>Bing Chat: Data Exfiltration Exploit Explained</t>
  </si>
  <si>
    <t>Papineni, Kishore and Roukos, Salim and Ward, Todd and Zhu, Wei-Jing</t>
  </si>
  <si>
    <t>Proceedings of the 40th annual meeting of the Association for Computational Linguistics</t>
  </si>
  <si>
    <t>311--318</t>
  </si>
  <si>
    <t>{BLEU: A method for automatic evaluation of machine translation}</t>
  </si>
  <si>
    <t>New York, NY, USA</t>
  </si>
  <si>
    <t>Dhamala, Jwala and Sun, Tony and Kumar, Varun and Krishna, Satyapriya and Pruksachatkun, Yada and Chang, Kai-Wei and Gupta, Rahul</t>
  </si>
  <si>
    <t>Proceedings of the 2021 ACM Conference on Fairness, Accountability, and Transparency</t>
  </si>
  <si>
    <t>10.1145/3442188.3445924</t>
  </si>
  <si>
    <t>natural language generation, Fairness</t>
  </si>
  <si>
    <t>Virtual Event, Canada</t>
  </si>
  <si>
    <t>862–872</t>
  </si>
  <si>
    <t>Association for Computing Machinery</t>
  </si>
  <si>
    <t>FAccT '21</t>
  </si>
  <si>
    <t>{BOLD: Dataset and Metrics for Measuring Biases in Open-Ended Language Generation}</t>
  </si>
  <si>
    <t>https://doi.org/10.1145/3442188.3445924</t>
  </si>
  <si>
    <t>Craig Greenberg and Patrick Hall and Theodore Jensen and Kristen Greene and Razvan Amironesei</t>
  </si>
  <si>
    <t>arXiv preprint:2509.26632</t>
  </si>
  <si>
    <t>{Branching Out: Broadening AI Measurement and Evaluation with Measurement Trees}</t>
  </si>
  <si>
    <t>https://arxiv.org/abs/2509.26632</t>
  </si>
  <si>
    <t>Patrick Hall and Andrew Burt</t>
  </si>
  <si>
    <t>August</t>
  </si>
  <si>
    <t>Cyber Defense eMagazine</t>
  </si>
  <si>
    <t>URL: \url{https://www.cyberdefensemagazine.com/build-your-ai-incident-response-plan/}</t>
  </si>
  <si>
    <t>Build {Y}our {AI} {I}ncident {R}esponse {P}lan... {B}efore {I}t’s {T}oo {L}ate</t>
  </si>
  <si>
    <t>Cliff Click</t>
  </si>
  <si>
    <t>http://h2o.ai/blog/2013/10/building-distributed-gbm-h2o/%7D</t>
  </si>
  <si>
    <t>H2O.ai Blog</t>
  </si>
  <si>
    <t>Building a Distributed GBM on H2O</t>
  </si>
  <si>
    <t>http://h2o.ai/blog/2013/10/building-distributed-gbm-h2o/</t>
  </si>
  <si>
    <t>Huang, Y. and others</t>
  </si>
  <si>
    <t>Advances in Neural Information Processing Systems, 13;36</t>
  </si>
  <si>
    <t>C-eval: A multi-level multi-discipline Chinese evaluation suite for foundation models</t>
  </si>
  <si>
    <t>https://arxiv.org/abs/2305.08322</t>
  </si>
  <si>
    <t>Calibrating deep neural models plays an important role in building reliable, robust AI systems in safety-critical applications. Recent work has shown that modern neural networks that possess high predictive capability are poorly calibrated and produce unreliable model predictions. Though deep learning models achieve remarkable performance on various benchmarks, the study of model calibration and reliability is relatively underexplored. Ideal deep models should have not only high predictive performance but also be well calibrated. There have been some recent advances in calibrating deep models. In this survey, we review the state-of-the-art calibration methods and their principles for performing model calibration. First, we start with the definition of model calibration and explain the root causes of model miscalibration. Then we introduce the key metrics that can measure this aspect. It is followed by a summary of calibration methods that we roughly classify into four categories: post-hoc calibration, regularization methods, uncertainty estimation, and composition methods. We also cover recent advancements in calibrating large models, particularly large language models (LLMs). Finally, we discuss some open issues, challenges, and potential directions.</t>
  </si>
  <si>
    <t>Comment: 30 pages, Ongoing work</t>
  </si>
  <si>
    <t>Wang, Cheng</t>
  </si>
  <si>
    <t>10.48550/arXiv.2308.01222</t>
  </si>
  <si>
    <t>Preprint PDF:C\:\\Users\\st3\\Zotero\\storage\\GHRCQ8QN\\Wang - 2024 - Calibration in Deep Learning A Survey of the Stat.pdf:application/pdf;Snapshot:C\:\\Users\\st3\\Zotero\\storage\\JAXDK8F9\\2308.html:text/html</t>
  </si>
  <si>
    <t>Computer Science - Artificial Intelligence, Computer Science - Machine Learning</t>
  </si>
  <si>
    <t>arXiv:2308.01222 [cs]</t>
  </si>
  <si>
    <t>Calibration in {Deep} {Learning}</t>
  </si>
  <si>
    <t>Calibration in {Deep} {Learning}: {A} {Survey} of the {State}-of-the-{Art}</t>
  </si>
  <si>
    <t>http://arxiv.org/abs/2308.01222</t>
  </si>
  <si>
    <t>L. J. Roberts</t>
  </si>
  <si>
    <t>10.5594/J00229</t>
  </si>
  <si>
    <t>0036-1682</t>
  </si>
  <si>
    <t>SMPTE Journal</t>
  </si>
  <si>
    <t>Oct</t>
  </si>
  <si>
    <t>934-946</t>
  </si>
  <si>
    <t>Cameras and Systems: A History of Contributions from the Bell; Howell Co. (Part I)</t>
  </si>
  <si>
    <t>Chen, Wanyi and Su, Meng-Wen and Mehjabin, Nafisa and Cummings, Mary L.</t>
  </si>
  <si>
    <t>arXiv preprint arXiv:2411.17912</t>
  </si>
  <si>
    <t>{Can LLMs Plan Paths in the Real World?}</t>
  </si>
  <si>
    <t>https://arxiv.org/pdf/2411.17912</t>
  </si>
  <si>
    <t>Maria Eriksson and Erasmo Purificato and Arman Noroozian and Joao Vinagre and Guillaume Chaslot and Emilia Gomez and David Fernandez-Llorca</t>
  </si>
  <si>
    <t>Can We Trust AI Benchmarks? An Interdisciplinary Review of Current Issues in AI Evaluation</t>
  </si>
  <si>
    <t>https://arxiv.org/abs/2502.06559</t>
  </si>
  <si>
    <t>Yangsibo Huang and Samyak Gupta and Mengzhou Xia and Kai Li and Danqi Chen</t>
  </si>
  <si>
    <t>Catastrophic Jailbreak of Open-source LLMs via Exploiting Generation</t>
  </si>
  <si>
    <t>https://arxiv.org/abs/2310.06987</t>
  </si>
  <si>
    <t>Feldman, Michael and Friedler, Sorelle A. and Moeller, John and Scheidegger, Carlos and Venkatasubramanian, Suresh</t>
  </si>
  <si>
    <t>Proceedings of the 21\textsuperscript{st} ACM SIGKDD International Conference on Knowledge Discovery and Data Mining</t>
  </si>
  <si>
    <t>URL: \url{https://arxiv.org/pdf/1412.3756.pdf}</t>
  </si>
  <si>
    <t>259--268</t>
  </si>
  <si>
    <t>Certifying and {R}emoving {D}isparate {I}mpact</t>
  </si>
  <si>
    <t>Wei, Jason and Wang, Xuezhi and Schuurmans, Dale and Bosma, Maarten and Xia, Fei and Chi, Ed and Le, Quoc V. and Zhou, Denny and others</t>
  </si>
  <si>
    <t>Advances in neural information processing systems</t>
  </si>
  <si>
    <t>24824--24837</t>
  </si>
  <si>
    <t>{Chain-of-thought Prompting Elicits Reasoning in Large Language Models}</t>
  </si>
  <si>
    <t>https://arxiv.org/pdf/2201.11903</t>
  </si>
  <si>
    <t>Weller, Adrian</t>
  </si>
  <si>
    <t>arXiv preprint arXiv:1708.01870</t>
  </si>
  <si>
    <t>URL: \url{https://arxiv.org/pdf/1708.01870.pdf}</t>
  </si>
  <si>
    <t>{C}hallenges for {T}ransparency</t>
  </si>
  <si>
    <t>Mohammad, Saif M</t>
  </si>
  <si>
    <t>A practical guide to sentiment analysis</t>
  </si>
  <si>
    <t>61--83</t>
  </si>
  <si>
    <t>Challenges in sentiment analysis</t>
  </si>
  <si>
    <t>Susan Landau and James X. Dempsey and Ece Kamar and Steven M. Bellovin and Robert Pool</t>
  </si>
  <si>
    <t>Challenging the Machine: Contestability in Government AI Systems</t>
  </si>
  <si>
    <t>https://arxiv.org/abs/2406.10430</t>
  </si>
  <si>
    <t>Consumer Financial Protection Report</t>
  </si>
  <si>
    <t>Chatbots in Consumer Finance</t>
  </si>
  <si>
    <t>https://www.consumerfinance.gov/data-research/research-reports/chatbots-in-consumer-finance/chatbots-in-consumer-finance/</t>
  </si>
  <si>
    <t>Alex Tamkin and Miles McCain and Kunal Handa and Esin Durmus and Liane Lovitt and Ankur Rathi and Saffron Huang and Alfred Mountfield and Jerry Hong and Stuart Ritchie and Michael Stern and Brian Clarke and Landon Goldberg and Theodore R. Sumers and Jared Mueller and William McEachen and Wes Mitchell and Shan Carter and Jack Clark and Jared Kaplan and Deep Ganguli</t>
  </si>
  <si>
    <t>Clio: Privacy-Preserving Insights into Real-World AI Use</t>
  </si>
  <si>
    <t>https://arxiv.org/abs/2412.13678</t>
  </si>
  <si>
    <t>Cristian Matti and Gabriel Rissola</t>
  </si>
  <si>
    <t>\url{https://www.eit.europa.eu/sites/default/files/jrc128771_01.pdf}</t>
  </si>
  <si>
    <t>Co-creation for policy: Participatory methodologies to structure multi-stakeholder policymaking processes</t>
  </si>
  <si>
    <t>Sikke R. Jansma and Anne M. Dijkstra and Menno D.T. de Jong</t>
  </si>
  <si>
    <t>10.1080/23299460.2021.1994195</t>
  </si>
  <si>
    <t>Journal of Responsible Innovation</t>
  </si>
  <si>
    <t>28-48</t>
  </si>
  <si>
    <t>Co-creation in support of responsible research and innovation: an analysis of three stakeholder workshops on nanotechnology for health</t>
  </si>
  <si>
    <t>Joseph Donia and James A. Shaw</t>
  </si>
  <si>
    <t>Big Data \&amp; Society</t>
  </si>
  <si>
    <t>{Co-design and ethical artificial intelligence for health: An agenda for critical research and practice}</t>
  </si>
  <si>
    <t>Escher, Nel and Bilik, Jeffrey and Banovic, Nikola and Green, Ben</t>
  </si>
  <si>
    <t>10.1145/3686937</t>
  </si>
  <si>
    <t>Proc. ACM Hum.-Comput. Interact.</t>
  </si>
  <si>
    <t>automated legal systems, law, legal software development</t>
  </si>
  <si>
    <t>November</t>
  </si>
  <si>
    <t>CSCW2</t>
  </si>
  <si>
    <t>Code-ifying the Law: How Disciplinary Divides Afflict the Development of Legal Software</t>
  </si>
  <si>
    <t>https://doi.org/10.1145/3686937</t>
  </si>
  <si>
    <t>Mason, W. and Watts, D. J.</t>
  </si>
  <si>
    <t>10.1073/pnas.1110069108</t>
  </si>
  <si>
    <t>Proceedings of the National Academy of Sciences</t>
  </si>
  <si>
    <t>764--769</t>
  </si>
  <si>
    <t>Collaborative learning in networks</t>
  </si>
  <si>
    <t>https://doi.org/10.1073/pnas.1110069108</t>
  </si>
  <si>
    <t>Woolley, A. W. and Aggarwal, I. and Malone, T. W.</t>
  </si>
  <si>
    <t>10.1177/0963721415599543</t>
  </si>
  <si>
    <t>Current Directions in Psychological Science</t>
  </si>
  <si>
    <t>420--424</t>
  </si>
  <si>
    <t>Collective intelligence and group performance</t>
  </si>
  <si>
    <t>https://doi.org/10.1177/0963721415599543</t>
  </si>
  <si>
    <t>Amifa Raj and Michael D. Ekstrand</t>
  </si>
  <si>
    <t>arXiv preprint arXiv:2009.01311</t>
  </si>
  <si>
    <t>Comparing Fair Ranking Metrics</t>
  </si>
  <si>
    <t>https://arxiv.org/pdf/2009.01311</t>
  </si>
  <si>
    <t>OCC</t>
  </si>
  <si>
    <t>Office of the Comptroller of the Currency</t>
  </si>
  <si>
    <t>January</t>
  </si>
  <si>
    <t>Comptroller's Handbook: Fair Lending</t>
  </si>
  <si>
    <t>https://www.occ.gov/publications-and-resources/publications/comptrollers-handbook/files/fair-lending/index-fair-lending.html</t>
  </si>
  <si>
    <t>Comptroller's Handbook: Model Risk Management</t>
  </si>
  <si>
    <t>https://www.occ.gov/publications-and-resources/publications/comptrollers-handbook/files/model-risk-management/index-model-risk-management.html</t>
  </si>
  <si>
    <t>Bauer, Friedrich L</t>
  </si>
  <si>
    <t>SIAM Journal on Numerical Analysis</t>
  </si>
  <si>
    <t>87--96</t>
  </si>
  <si>
    <t>SIAM</t>
  </si>
  <si>
    <t>Computational graphs and rounding error</t>
  </si>
  <si>
    <t>Inioluwa Deborah Raji and Roel Dobbe</t>
  </si>
  <si>
    <t>Concrete Problems in AI Safety, Revisited</t>
  </si>
  <si>
    <t>https://arxiv.org/abs/2401.10899</t>
  </si>
  <si>
    <t>{Bugcrowd}</t>
  </si>
  <si>
    <t>\url{https://bugcrowd.com/conductorai-ogbb?preview=ae06c13f786e06a1f9ff03d74230b7d5}</t>
  </si>
  <si>
    <t>ConductorAI - Bias Bounty Program</t>
  </si>
  <si>
    <t>Lundberg, Scott M. and Erion, Gabriel G. and Lee, Su-In</t>
  </si>
  <si>
    <t>Proceedings of the 2017 ICML Workshop on Human Interpretability in Machine Learning (WHI 2017)</t>
  </si>
  <si>
    <t>Been Kim and Dmitry M. Malioutov and Kush R. Varshney and Adrian Weller</t>
  </si>
  <si>
    <t>URL: \url{https://openreview.net/pdf?id=ByTKSo-m-}</t>
  </si>
  <si>
    <t>ICML</t>
  </si>
  <si>
    <t>15--21</t>
  </si>
  <si>
    <t>ICML WHI 2017</t>
  </si>
  <si>
    <t>Consistent {I}ndividualized {F}eature {A}ttribution for {T}ree {E}nsembles</t>
  </si>
  <si>
    <t>Bai, Yuntao and Kadavath, Saurav and Kundu, Sandipan and Askell, Amanda and Kernion, Jackson and Jones, Andy and Chen, Anna and Goldie, Anna and Mirhoseini, Azalia and McKinnon, Cameron and others</t>
  </si>
  <si>
    <t>arXiv preprint arXiv:2212.08073</t>
  </si>
  <si>
    <t>Constitutional {AI}: Harmlessness from {AI} feedback</t>
  </si>
  <si>
    <t>Cronbach, Lee J and Meehl, Paul E</t>
  </si>
  <si>
    <t>10.1037/h0040957</t>
  </si>
  <si>
    <t>281--302</t>
  </si>
  <si>
    <t>Construct validity in psychological tests</t>
  </si>
  <si>
    <t>Hutchby, Ian and Wooffitt, Robin</t>
  </si>
  <si>
    <t>Polity</t>
  </si>
  <si>
    <t>Conversation analysis</t>
  </si>
  <si>
    <t>Richards, Jack C and Schmidt, Richard W</t>
  </si>
  <si>
    <t>Language and communication</t>
  </si>
  <si>
    <t>129--167</t>
  </si>
  <si>
    <t>Routledge</t>
  </si>
  <si>
    <t>Conversational analysis</t>
  </si>
  <si>
    <t>Mohapatra, Biswesh and Hassan, Seemab and Romary, Laurent and Cassell, Justine</t>
  </si>
  <si>
    <t>arXiv preprint arXiv:2403.16609</t>
  </si>
  <si>
    <t>Conversational Grounding: Annotation and Analysis of Grounding Acts and Grounding Units</t>
  </si>
  <si>
    <t>Wachter, Sandra and Mittelstadt, Brent and Russell, Chris</t>
  </si>
  <si>
    <t>Harv. JL \&amp; Tech.</t>
  </si>
  <si>
    <t>URL: \url{https://arxiv.org/pdf/1711.00399.pdf}</t>
  </si>
  <si>
    <t>HeinOnline</t>
  </si>
  <si>
    <t>Counterfactual {E}xplanations {W}ithout {O}pening the {B}lack {B}ox: {A}utomated {D}ecisions and the {G}{P}{D}{R}</t>
  </si>
  <si>
    <t>Siddiqi, Naeem</t>
  </si>
  <si>
    <t>John Wiley \&amp; Sons</t>
  </si>
  <si>
    <t>{Credit Risk Scorecards: Developing and implementing intelligent credit scoring}</t>
  </si>
  <si>
    <t>Birmingham, UK</t>
  </si>
  <si>
    <t>Rehberger, J.</t>
  </si>
  <si>
    <t>1st</t>
  </si>
  <si>
    <t>Packt Publishing</t>
  </si>
  <si>
    <t>Cybersecurity Attacks - Red Team Strategies</t>
  </si>
  <si>
    <t>Saravia, E.</t>
  </si>
  <si>
    <t>\url{https://github.com/dair-ai/Prompt-Engineering-Guide}</t>
  </si>
  <si>
    <t>DAIR-AI Prompt Engineering Guide</t>
  </si>
  <si>
    <t>M. Pushkarna and A. Zaldivar and D. Nanas and others.</t>
  </si>
  <si>
    <t>{Data Cards Playbook}</t>
  </si>
  <si>
    <t>https://sites.research.google/datacardsplaybook/</t>
  </si>
  <si>
    <t>Pushkarna, Mahima and Zaldivar, Andrew and Kjartansson, Oddur</t>
  </si>
  <si>
    <t>Proceedings of the 2022 ACM Conference on Fairness, Accountability, and Transparency</t>
  </si>
  <si>
    <t>1776--1826</t>
  </si>
  <si>
    <t>Data cards: Purposeful and transparent dataset documentation for responsible ai</t>
  </si>
  <si>
    <t>Lenaerts-Bergmans, B.</t>
  </si>
  <si>
    <t>\url{https://www.crowdstrike.com/cybersecurity-101/cyberattacks/data-poisoning/}</t>
  </si>
  <si>
    <t>Data Poisoning: The Exploitation of Generative AI</t>
  </si>
  <si>
    <t>Kamiran, Faisal and Calders, Toon</t>
  </si>
  <si>
    <t>Knowledge and Information Systems</t>
  </si>
  <si>
    <t>URL: \url{https://bit.ly/2lH95lQ}</t>
  </si>
  <si>
    <t>1--33</t>
  </si>
  <si>
    <t>Data {P}reprocessing {T}echniques for {C}lassification {W}ithout {D}iscrimination</t>
  </si>
  <si>
    <t>Bender, Emily M and Friedman, Batya</t>
  </si>
  <si>
    <t>Transactions of the Association for Computational Linguistics</t>
  </si>
  <si>
    <t>587--604</t>
  </si>
  <si>
    <t>MIT Press One Rogers Street, Cambridge, MA 02142-1209, USA journals-info~…</t>
  </si>
  <si>
    <t>Data statements for natural language processing: Toward mitigating system bias and enabling better science</t>
  </si>
  <si>
    <t>McMillan-Major, Angelina and Bender, Emily M and Friedman, Batya</t>
  </si>
  <si>
    <t>ACM Journal on Responsible Computing</t>
  </si>
  <si>
    <t>1--17</t>
  </si>
  <si>
    <t>Data statements: From technical concept to community practice</t>
  </si>
  <si>
    <t>To leverage the opportunities provided by the Internet of Things (IoT), product-based companies are exploring new data-driven business opportunities. They may miss these same opportunities, however, owing to data-privacy challenges. These challenges start with the customers of product-based companies, extend to the wider business ecosystem, and continue with the companies themselves. This article identifies 12 data-privacy challenges and introduces 12 measures to address them. These include intuitive recommendations, such as enabling cross-product consent collection, as well as less intuitive measures, such as fostering a can-do attitude in legal units, closing the gap between legal and business initiatives, or implementing a clear process for well-reasoned risk-taking. The following four principles were found to support companies in implementing these measures: (1) letting privacy and data-driven business go hand in hand, (2) putting customers first and turning their privacy preferences into opportunities, (3) aligning risk-management activities with the process of digital service development, and (4) using technology to professionalize legal processes.</t>
  </si>
  <si>
    <t>Schäfer, Fabian and Gebauer, Heiko and Gröger, Christoph and Gassmann, Oliver and Wortmann, Felix</t>
  </si>
  <si>
    <t>10.1016/j.bushor.2022.10.002</t>
  </si>
  <si>
    <t>0007-6813</t>
  </si>
  <si>
    <t>Business Horizons</t>
  </si>
  <si>
    <t>Data privacy, Data sharing, Data-driven business, Digital services, Privacy principles, Risk management</t>
  </si>
  <si>
    <t>July</t>
  </si>
  <si>
    <t>493--504</t>
  </si>
  <si>
    <t>Data-driven business and data privacy</t>
  </si>
  <si>
    <t>Data-driven business and data privacy: {Challenges} and measures for product-based companies</t>
  </si>
  <si>
    <t>https://www.sciencedirect.com/science/article/pii/S0007681322001288</t>
  </si>
  <si>
    <t>Gebru, Timnit and Morgenstern, Jamie and Vecchione, Briana and Vaughan, Jennifer Wortman and Wallach, Hanna and III, Hal Daum{\'e} and Crawford, Kate</t>
  </si>
  <si>
    <t>Communications of the ACM</t>
  </si>
  <si>
    <t>86--92</t>
  </si>
  <si>
    <t>{Datasheets for Datasets}</t>
  </si>
  <si>
    <t>https://dl.acm.org/doi/10.1145/3458723</t>
  </si>
  <si>
    <t>Rayid Ghani and Kit T. Rodolfa and Pedro Saleiro</t>
  </si>
  <si>
    <t xml:space="preserve">Data Science for Social Good Fairness Tutorial, KDD, 2023 </t>
  </si>
  <si>
    <t>{Dealing with Bias and Fairness in AI/ML/Data Science Systems}</t>
  </si>
  <si>
    <t>https://docs.google.com/presentation/d/1ycNhDJr5uQiBhWvdlNArnv7ojydW73qryOjRBB30Z44/edit</t>
  </si>
  <si>
    <t>Davani, Aida Mostafazadeh and D{\'\i}az, Mark and Prabhakaran, Vinodkumar</t>
  </si>
  <si>
    <t>92--110</t>
  </si>
  <si>
    <t>MIT Press One Rogers Street, Cambridge, MA 02142-1209, USA</t>
  </si>
  <si>
    <t>{Dealing with disagreements: Looking beyond the majority vote in subjective annotations}</t>
  </si>
  <si>
    <t>Olivia Sturman and Aparna R. Joshi and Bhaktipriya Radharapu and Piyush Kumar and Renee Shelby</t>
  </si>
  <si>
    <t>Proceedings of the 2024 Conference on Empirical Methods in Natural Language Processing</t>
  </si>
  <si>
    <t>pp. 199-214. 2024.</t>
  </si>
  <si>
    <t>Debiasing text safety classifiers through a fairness-aware ensemble</t>
  </si>
  <si>
    <t>Kang, Daniel and Raghavan, Deepti and Bailis, Peter and Zaharia, Matei</t>
  </si>
  <si>
    <t>URL: \url{https://debug-ml-iclr2019.github.io/cameraready/DebugML-19_paper_27.pdf}</t>
  </si>
  <si>
    <t>Debugging {M}achine {L}earning {M}odels via {M}odel {A}ssertions</t>
  </si>
  <si>
    <t>Open Review Preprint</t>
  </si>
  <si>
    <t>URL: \url{https://openreview.net/pdf?id=r1iWHVJ7Z}</t>
  </si>
  <si>
    <t>Debugging the {B}lack-{B}ox {C}{O}{M}{P}{A}{S} {R}isk {A}ssessment {I}nstrument to {D}iagnose and {R}emediate {B}ias</t>
  </si>
  <si>
    <t>Kamiran, Faisal and Karim, Asim and Zhang, Xiangliang</t>
  </si>
  <si>
    <t>2012 IEEE 12th International Conference on Data Mining</t>
  </si>
  <si>
    <t>URL: \url{http://citeseerx.ist.psu.edu/viewdoc/download?doi=10.1.1.722.3030&amp;rep=rep1&amp;type=pdf}</t>
  </si>
  <si>
    <t>IEEE</t>
  </si>
  <si>
    <t>924--929</t>
  </si>
  <si>
    <t>Decision {T}heory for {D}iscrimination-aware {C}lassification</t>
  </si>
  <si>
    <t>Wang, Boxin and Chen, Weixin and Pei, Hengzhi and Xie, Chulin and Kang, Mintong and Zhang, Chenhui and Xu, Chejian and Xiong, Zidi and Dutta, Ritik and Schaeffer, Rylan and others</t>
  </si>
  <si>
    <t>10.48550/arXiv.2306.11698</t>
  </si>
  <si>
    <t>Advances in Neural Information Processing Systems, 36</t>
  </si>
  <si>
    <t>DecodingTrust: A comprehensive assessment of trustworthiness in GPT models</t>
  </si>
  <si>
    <t>https://doi.org/10.48550/arXiv.2306.11698</t>
  </si>
  <si>
    <t>Kanter, James Max and Veeramachaneni, Kalyan</t>
  </si>
  <si>
    <t>Data Science and Advanced Analytics (DSAA), 2015. 36678 2015. IEEE International Conference on</t>
  </si>
  <si>
    <t>URL: \url{https://groups.csail.mit.edu/EVO-DesignOpt/groupWebSite/uploads/Site/DSAA_DSM_2015.pdf}</t>
  </si>
  <si>
    <t>1--10</t>
  </si>
  <si>
    <t>Deep {F}eature {S}ynthesis: Towards {A}utomating {D}ata {S}cience {E}ndeavors</t>
  </si>
  <si>
    <t>Abadi, Martin and Chu, Andy and Goodfellow, Ian and McMahan, H Brendan and Mironov, Ilya and Talwar, Kunal and Zhang, Li</t>
  </si>
  <si>
    <t>Proceedings of the 2016 ACM SIGSAC Conference on Computer and Communications Security</t>
  </si>
  <si>
    <t>URL: \url{https://arxiv.org/pdf/1607.00133.pdf}</t>
  </si>
  <si>
    <t>308--318</t>
  </si>
  <si>
    <t>Deep {L}earning with {D}ifferential {P}rivacy</t>
  </si>
  <si>
    <t>Arora, A. and Candel, A. and Lanford, J. and LeDell, E. and and Parmar, V.</t>
  </si>
  <si>
    <t>http://h2o.ai/resources</t>
  </si>
  <si>
    <t>manual</t>
  </si>
  <si>
    <t>Deep Learning with H2O</t>
  </si>
  <si>
    <t>Nguyen, Anh and Yosinski, Jason and Clune, Jeff</t>
  </si>
  <si>
    <t>Proceedings of the IEEE Conference on Computer Vision and Pattern Recognition</t>
  </si>
  <si>
    <t>URL: \url{https://www.cv-foundation.org/openaccess/content_cvpr_2015/papers/Nguyen_Deep_Neural_Networks_2015_CVPR_paper.pdf}</t>
  </si>
  <si>
    <t>427--436</t>
  </si>
  <si>
    <t>Deep {N}eural {N}etworks are {E}asily {F}ooled: {H}igh {C}onfidence {P}redictions for {U}nrecognizable {I}mages</t>
  </si>
  <si>
    <t>Henderson, Peter and Islam, Riashat and Bachman, Philip and Pineau, Joelle and Precup, Doina and Meger, David</t>
  </si>
  <si>
    <t>Proceedings of the AAAI Conference on Artificial Intelligence</t>
  </si>
  <si>
    <t>Deep Reinforcement Learning That Matters</t>
  </si>
  <si>
    <t>https://ojs.aaai.org/index.php/AAAI/article/download/11694/11553</t>
  </si>
  <si>
    <t>Kaiming He and Xiangyu Zhang and Shaoqing Ren and Jian Sun</t>
  </si>
  <si>
    <t>https://arxiv.org/pdf/1512.03385.pdf</t>
  </si>
  <si>
    <t>Deep Residual Learning for Image Recognition</t>
  </si>
  <si>
    <t>Atherton, D.</t>
  </si>
  <si>
    <t>\url{https://incidentdatabase.ai/blog/deepfakes-and-child-safety/}</t>
  </si>
  <si>
    <t>Deepfakes and Child Safety: A Survey and Analysis of 2023 Incidents and Responses</t>
  </si>
  <si>
    <t>Candel, Arno</t>
  </si>
  <si>
    <t>\url{http://h2o.ai/blog/2015/02/deep-learning-performance/}</t>
  </si>
  <si>
    <t>Definitive Performance Tuning Guide for Deep Learning</t>
  </si>
  <si>
    <t>Blog</t>
  </si>
  <si>
    <t>{OpenAI}</t>
  </si>
  <si>
    <t>Democratic Inputs to AI Grant Program: Lessons Learned and Implementation Plans</t>
  </si>
  <si>
    <t>https://openai.com/index/democratic-inputs-to-ai-grant-program-update/</t>
  </si>
  <si>
    <t>Montgomery, Douglas C</t>
  </si>
  <si>
    <t>John wiley \&amp; sons</t>
  </si>
  <si>
    <t>Design and analysis of experiments</t>
  </si>
  <si>
    <t>https://www.wiley.com/en-us/shop/general-introductory-industrial-engineering/design-and-analysis-of-experiments-10th-edition-p-9781119492443</t>
  </si>
  <si>
    <t>Sudjianto, Agus and Zhang, Aijun</t>
  </si>
  <si>
    <t>arXiv preprint arXiv:2111.01743</t>
  </si>
  <si>
    <t>URL: \url{https://arxiv.org/pdf/2111.01743.pdf}</t>
  </si>
  <si>
    <t>Designing {I}nherently {I}nterpretable {M}achine {L}earning {M}odels</t>
  </si>
  <si>
    <t>Weijia Shi and Anirudh Ajith and Mengzhou Xia and Yangsibo Huang and Daogao Liu and Terra Blevins and Danqi Chen and Luke Zettlemoyer</t>
  </si>
  <si>
    <t>Detecting Pretraining Data from Large Language Models</t>
  </si>
  <si>
    <t>https://arxiv.org/abs/2310.16789</t>
  </si>
  <si>
    <t>Lee, Sanguk and Ma, Siyuan and Meng, Jingbo and Zhuang, Jie and Peng, Tai-Quan</t>
  </si>
  <si>
    <t>International Journal of Environmental Research and Public Health</t>
  </si>
  <si>
    <t>MDPI</t>
  </si>
  <si>
    <t>Detecting sentiment toward emerging infectious diseases on social media: a validity evaluation of dictionary-based sentiment analysis</t>
  </si>
  <si>
    <t>Hanu, Laura and {Unitary team}</t>
  </si>
  <si>
    <t>Github. https://github.com/unitaryai/detoxify</t>
  </si>
  <si>
    <t>Detoxify</t>
  </si>
  <si>
    <t>Ji, Zhanglong and Lipton, Zachary C. and Elkan, Charles</t>
  </si>
  <si>
    <t>arXiv preprint arXiv:1412.7584</t>
  </si>
  <si>
    <t>URL: \url{https://arxiv.org/pdf/1412.7584.pdf}</t>
  </si>
  <si>
    <t>Differential {P}rivacy and {M}achine {L}earning: {A} {S}urvey and {R}eview</t>
  </si>
  <si>
    <t>Holohan, Naoise and Braghin, Stefano and Mac Aonghusa, P{\'o}l and Levacher, Killian</t>
  </si>
  <si>
    <t>arXiv preprint arXiv:1907.02444</t>
  </si>
  <si>
    <t>URL: \url{https://arxiv.org/pdf/1907.02444.pdf}</t>
  </si>
  <si>
    <t>{D}iffprivlib: {T}he {I}{B}{M} {D}ifferential {P}rivacy {L}ibrary</t>
  </si>
  <si>
    <t>Jones, Rodney H and Chik, Alice and Hafner, Christoph A</t>
  </si>
  <si>
    <t>Discourse and digital practices: Doing discourse analysis in the digital age</t>
  </si>
  <si>
    <t>http://web.stanford.edu/?hastie/Papers/boost_discussion.pdf</t>
  </si>
  <si>
    <t>\textit{Annual Statistics}</t>
  </si>
  <si>
    <t>102-107</t>
  </si>
  <si>
    <t>Discussion of Boosting Papers</t>
  </si>
  <si>
    <t>Obermeyer, Ziad and Powers, Brian and Vogeli, Christine and Mullainathan, Sendhil</t>
  </si>
  <si>
    <t>Science</t>
  </si>
  <si>
    <t>URL: \url{https://bit.ly/36XK6yk}</t>
  </si>
  <si>
    <t>447--453</t>
  </si>
  <si>
    <t>American Association for the Advancement of Science</t>
  </si>
  <si>
    <t>Dissecting {R}acial {B}ias in an {A}lgorithm {U}sed to {M}anage the {H}ealth of {P}opulations</t>
  </si>
  <si>
    <t>Stephen Boyd and Neal Parikh and Eric Chu and Borja Peleato and Jonahtan Eckstein</t>
  </si>
  <si>
    <t>https://web.stanford.edu/~boyd/papers/pdf/admm_distr_stats.pdf</t>
  </si>
  <si>
    <t>\textit{Foundations and Trends in Machine Learning}</t>
  </si>
  <si>
    <t>1-122</t>
  </si>
  <si>
    <t>Distributed Optimization and Statistical Learning via the Alternating Direction Method of Multipliers</t>
  </si>
  <si>
    <t>Mikolov, Tomas and Sutskever, Ilya and Chen, Kai and Corrado, Greg S. and Dean, Jeff</t>
  </si>
  <si>
    <t>C.J. Burges and L. Bottou and M. Welling and Z. Ghahramani and K.Q. Weinberger</t>
  </si>
  <si>
    <t>URL: \url{https://proceedings.neurips.cc/paper_files/paper/2013/file/9aa42b31882ec039965f3c4923ce901b-Paper.pdf}</t>
  </si>
  <si>
    <t>Distributed Representations of Words and Phrases and their Compositionality</t>
  </si>
  <si>
    <t>Jing Lei and Max G'Sell and Alessandro Rinaldo and Ryan J. Tibshirani and Larry Wasserman</t>
  </si>
  <si>
    <t>\textit{Journal of the American Statistical Association} (just-accepted)</t>
  </si>
  <si>
    <t>Distribution-Free Predictive Inference For Regression</t>
  </si>
  <si>
    <t>http://www.stat.cmu.edu/~ryantibs/papers/conformal.pdf</t>
  </si>
  <si>
    <t>Shen, X. and others</t>
  </si>
  <si>
    <t>ACM SIGSAC Conference on Computer and Communications Security</t>
  </si>
  <si>
    <t>1671--1685</t>
  </si>
  <si>
    <t>Do anything now: Characterizing and evaluating in-the-wild jailbreak prompts on large language models</t>
  </si>
  <si>
    <t>https://arxiv.org/abs/2308.03825</t>
  </si>
  <si>
    <t>Benjamin Recht and Rebecca Roelofs and Ludwig Schmidt and Vaishaal Shankar</t>
  </si>
  <si>
    <t>cs.CV</t>
  </si>
  <si>
    <t>Do ImageNet Classifiers Generalize to ImageNet?</t>
  </si>
  <si>
    <t>https://arxiv.org/abs/1902.10811</t>
  </si>
  <si>
    <t>Lee, Jooyoung and Le, Thai and Chen, Jinghui and Lee, Dongwon</t>
  </si>
  <si>
    <t>Proceedings of the ACM Web Conference 2023</t>
  </si>
  <si>
    <t>3637--3647</t>
  </si>
  <si>
    <t>Do language models plagiarize?</t>
  </si>
  <si>
    <t>https://doi.org/10.1145/3543507.3583199</t>
  </si>
  <si>
    <t>Duan, M. and others</t>
  </si>
  <si>
    <t>arXiv preprint arXiv:2402.07841</t>
  </si>
  <si>
    <t>Do membership inference attacks work on large language models?</t>
  </si>
  <si>
    <t>Wang, Yuxia and Li, Haonan and Han, Xudong and Nakov, Preslav and Baldwin, Timothy</t>
  </si>
  <si>
    <t>Findings of the Association for Computational Linguistics: EACL 2024</t>
  </si>
  <si>
    <t>896--911</t>
  </si>
  <si>
    <t>Do-not-answer: Evaluating safeguards in LLMs</t>
  </si>
  <si>
    <t>Zhiyuan Yu and Xiaogeng Liu and Shunning Liang and Zach Cameron and Chaowei Xiao and Ning Zhang</t>
  </si>
  <si>
    <t>cs.CR</t>
  </si>
  <si>
    <t>Don't Listen To Me: Understanding and Exploring Jailbreak Prompts of Large Language Models</t>
  </si>
  <si>
    <t>https://arxiv.org/abs/2403.17336</t>
  </si>
  <si>
    <t>Mishra, Swaroop and Arunkumar, Anjana and Sachdeva, Bhavdeep and Bryan, Chris and Baral, Chitta</t>
  </si>
  <si>
    <t>arXiv preprint arXiv:2005.00816</t>
  </si>
  <si>
    <t>{DQI}: Measuring data quality in {NLP}</t>
  </si>
  <si>
    <t>Grother, Patrick, Austin Hom and Mei Ngan and Kayee Hanaoka</t>
  </si>
  <si>
    <t>{Draft for Public Comment, Ongoing Face Recognition Vendor Test (FRVT) Part 5: Face Image Quality Assessment}</t>
  </si>
  <si>
    <t>Ngan, M. and Grother, P. and Hanaoka, K. and Kuo, J.</t>
  </si>
  <si>
    <t>National Institute of Standards and Technology, NISTIR</t>
  </si>
  <si>
    <t>{DRAFT SUPPLEMENT, Face Analysis Technology Evaluation (FATE) Part 4: MORPH-Performance of Automated Face Morph Detection}</t>
  </si>
  <si>
    <t>Deep learning tools have gained tremendous attention in applied machine learning. However such tools for regression and classification do not capture model uncertainty. In comparison, Bayesian models offer a mathematically grounded framework to reason about model uncertainty, but usually come with a prohibitive computational cost. In this paper we develop a new theoretical framework casting dropout training in deep neural networks (NNs) as approximate Bayesian inference in deep Gaussian processes. A direct result of this theory gives us tools to model uncertainty with dropout NNs -- extracting information from existing models that has been thrown away so far. This mitigates the problem of representing uncertainty in deep learning without sacrificing either computational complexity or test accuracy. We perform an extensive study of the properties of dropout's uncertainty. Various network architectures and non-linearities are assessed on tasks of regression and classification, using MNIST as an example. We show a considerable improvement in predictive log-likelihood and RMSE compared to existing state-of-the-art methods, and finish by using dropout's uncertainty in deep reinforcement learning.</t>
  </si>
  <si>
    <t>Comment: 12 pages, 6 figures; fixed a mistake with standard error and added a new table with updated results (marked "Update [October 2016]"); Published in ICML 2016</t>
  </si>
  <si>
    <t>Gal, Yarin and Ghahramani, Zoubin</t>
  </si>
  <si>
    <t>10.48550/arXiv.1506.02142</t>
  </si>
  <si>
    <t>Preprint PDF:C\:\\Users\\st3\\Zotero\\storage\\MGV9U4FT\\Gal and Ghahramani - 2016 - Dropout as a Bayesian Approximation Representing .pdf:application/pdf;Snapshot:C\:\\Users\\st3\\Zotero\\storage\\ZCBK9HPA\\1506.html:text/html</t>
  </si>
  <si>
    <t>arXiv:1506.02142 [stat]</t>
  </si>
  <si>
    <t>Dropout as a {Bayesian} {Approximation}</t>
  </si>
  <si>
    <t>Dropout as a {Bayesian} {Approximation}: {Representing} {Model} {Uncertainty} in {Deep} {Learning}</t>
  </si>
  <si>
    <t>http://arxiv.org/abs/1506.02142</t>
  </si>
  <si>
    <t>Online</t>
  </si>
  <si>
    <t>Kiela, Douwe  and
Bartolo, Max  and
Nie, Yixin  and
Kaushik, Divyansh  and
Geiger, Atticus  and
Wu, Zhengxuan  and
Vidgen, Bertie  and
Prasad, Grusha  and
Singh, Amanpreet  and
Ringshia, Pratik  and
Ma, Zhiyi  and
Thrush, Tristan  and
Riedel, Sebastian  and
Waseem, Zeerak  and
Stenetorp, Pontus  and
Jia, Robin  and
Bansal, Mohit  and
Potts, Christopher  and
Williams, Adina</t>
  </si>
  <si>
    <t>Proceedings of the 2021 Conference of the North American Chapter of the Association for Computational Linguistics: Human Language Technologies</t>
  </si>
  <si>
    <t>10.18653/v1/2021.naacl-main.324</t>
  </si>
  <si>
    <t>Toutanova, Kristina  and
Rumshisky, Anna  and
Zettlemoyer, Luke  and
Hakkani-Tur, Dilek  and
Beltagy, Iz  and
Bethard, Steven  and
Cotterell, Ryan  and
Chakraborty, Tanmoy  and
Zhou, Yichao</t>
  </si>
  <si>
    <t>4110--4124</t>
  </si>
  <si>
    <t>Association for Computational Linguistics</t>
  </si>
  <si>
    <t>Dynabench: Rethinking Benchmarking in {NLP}</t>
  </si>
  <si>
    <t>https://aclanthology.org/2021.naacl-main.324/</t>
  </si>
  <si>
    <t>Bianchi, F. and others</t>
  </si>
  <si>
    <t>ACM Conference on Fairness, Accountability, and Transparency</t>
  </si>
  <si>
    <t>10.1145/3593013.3594095</t>
  </si>
  <si>
    <t>1493--1504</t>
  </si>
  <si>
    <t>Easily accessible text-to-image generation amplifies demographic stereotypes at large scale</t>
  </si>
  <si>
    <t>https://dl.acm.org/doi/10.1145/3593013.3594095</t>
  </si>
  <si>
    <t>ECB</t>
  </si>
  <si>
    <t>European Central Bank, Banking Supervision</t>
  </si>
  <si>
    <t>{ECB Guide to Internal Models}</t>
  </si>
  <si>
    <t>https://www.bankingsupervision.europa.eu/ecb/pub/pdf/ssm.supervisory_guide202507.en.pdf</t>
  </si>
  <si>
    <t>http://yann.lecun.com/exdb/publis/pdf/lecun-98b.pdf</t>
  </si>
  <si>
    <t>Efficient BackProp</t>
  </si>
  <si>
    <t>Mikolov, Tomas and Chen, Kai and Corrado, Greg and Dean, Jeffrey</t>
  </si>
  <si>
    <t>arXiv:1301.3781 [cs.CL]</t>
  </si>
  <si>
    <t>{Efficient Estimation of Word Representations in Vector Space}</t>
  </si>
  <si>
    <t>https://arxiv.org/abs/1301.3781</t>
  </si>
  <si>
    <t>New York</t>
  </si>
  <si>
    <t>Hao, Karen</t>
  </si>
  <si>
    <t>Penguin Press</t>
  </si>
  <si>
    <t>{Empire of AI: Dreams and Nightmares in Sam Altman's OpenAI}</t>
  </si>
  <si>
    <t>Rodolfa, Kit T. and Lamba, Hemank and Ghani, Rayid</t>
  </si>
  <si>
    <t>Nature Machine Intelligence</t>
  </si>
  <si>
    <t>896--904</t>
  </si>
  <si>
    <t>{Empirical Observation of Negligible Fairness--Accuracy Trade-offs in Machine Learning for Public Policy}</t>
  </si>
  <si>
    <t>https://arxiv.org/pdf/2012.02972</t>
  </si>
  <si>
    <t>Yang, Zebin and Zhang, Aijun and Sudjianto, Agus</t>
  </si>
  <si>
    <t>arXiv preprint arXiv:1901.03838</t>
  </si>
  <si>
    <t>URL: \url{https://arxiv.org/pdf/1901.03838.pdf}</t>
  </si>
  <si>
    <t>Enhancing {E}xplainability of {N}eural {N}etworks {T}hrough {A}rchitecture {C}onstraints</t>
  </si>
  <si>
    <t>Cory Doctorow</t>
  </si>
  <si>
    <t>MCD</t>
  </si>
  <si>
    <t>{Enshitification: Why Everything Suddenly Got Worse and What to Do About It}</t>
  </si>
  <si>
    <t>Hardt, Moritz and Price, Eric and Srebro, Nati and others</t>
  </si>
  <si>
    <t>URL: \url{http://papers.nips.cc/paper/6374-equality-of-opportunity-in-supervised-learning.pdf}</t>
  </si>
  <si>
    <t>3315--3323</t>
  </si>
  <si>
    <t>Equality of {O}pportunity in {S}upervised {L}earning</t>
  </si>
  <si>
    <t>ISO</t>
  </si>
  <si>
    <t>ISO/TC 159/SC 4</t>
  </si>
  <si>
    <t>{Ergonomics of human-system interaction Part 11: Usability: Definitions and concepts}</t>
  </si>
  <si>
    <t>Emanuel, Moss and Jacob, Metcalf</t>
  </si>
  <si>
    <t>September</t>
  </si>
  <si>
    <t>Data \&amp; Society</t>
  </si>
  <si>
    <t>Ethics Owners: A New Model of Organizational Responsibility in Data-Driven Technology Companies</t>
  </si>
  <si>
    <t>https://datasociety.net/wp-content/uploads/2020/09/Ethics-Owners_20200923-DataSociety.pdf</t>
  </si>
  <si>
    <t>Alex Tamkin and Amanda Askell and Liane Lovitt and Esin Durmus and Nicholas Joseph and Shauna Kravec and Karina Nguyen and Jared Kaplan and Deep Ganguli</t>
  </si>
  <si>
    <t>Evaluating and Mitigating Discrimination in Language Model Decisions</t>
  </si>
  <si>
    <t>https://arxiv.org/abs/2312.03689</t>
  </si>
  <si>
    <t>Wallach, Hanna M. and Desai, Meera A. and Pangakis, Nicholas and Cooper, A. Feder and Wang, Angelina and Barocas, Solon and Chouldechova, Alexandra and Atalla, Chad and Blodgett, Su Lin and Corvi, Emily and others</t>
  </si>
  <si>
    <t>CoRR</t>
  </si>
  <si>
    <t>{Evaluating Generative AI Systems is a Social Science Measurement Challenge}</t>
  </si>
  <si>
    <t>https://arxiv.org/pdf/2411.10939v1</t>
  </si>
  <si>
    <t>Chen, Mark and Tworek, Jerry and Jun, Heewoo and Yuan, Qiming and Pinto, Henrique Ponde De Oliveira and Kaplan, Jared and Edwards, Harri and Burda, Yuri and Joseph, Nicholas and Brockman, Greg and others</t>
  </si>
  <si>
    <t>arXiv preprint arXiv:2107.03374</t>
  </si>
  <si>
    <t>Evaluating large language models trained on code</t>
  </si>
  <si>
    <t>Experimental economists have joined the reproducibility discussion by replicating selected published experiments from two top-tier journals in economics. Camerer et al. found that two-thirds of the 18 studies examined yielded replicable estimates of effect size and direction. This proportion is somewhat lower than unaffiliated experts were willing to bet in an associated prediction market, but roughly in line with expectations from sample sizes and P values. Science, this issue p. 1433 By several metrics, economics experiments do replicate, although not as often as predicted. The replicability of some scientific findings has recently been called into question. To contribute data about replicability in economics, we replicated 18 studies published in the American Economic Review and the Quarterly Journal of Economics between 2011 and 2014. All of these replications followed predefined analysis plans that were made publicly available beforehand, and they all have a statistical power of at least 90\% to detect the original effect size at the 5\% significance level. We found a significant effect in the same direction as in the original study for 11 replications (61\%); on average, the replicated effect size is 66\% of the original. The replicability rate varies between 67\% and 78\% for four additional replicability indicators, including a prediction market measure of peer beliefs.</t>
  </si>
  <si>
    <t>Colin F. Camerer  and Anna Dreber  and Eskil Forsell  and Teck-Hua Ho  and Jürgen Huber  and Magnus Johannesson  and Michael Kirchler  and Johan Almenberg  and Adam Altmejd  and Taizan Chan  and Emma Heikensten  and Felix Holzmeister  and Taisuke Imai  and Siri Isaksson  and Gideon Nave  and Thomas Pfeiffer  and Michael Razen  and Hang Wu</t>
  </si>
  <si>
    <t>10.1126/science.aaf0918</t>
  </si>
  <si>
    <t>1433-1436</t>
  </si>
  <si>
    <t>Evaluating replicability of laboratory experiments in economics</t>
  </si>
  <si>
    <t>https://www.science.org/doi/abs/10.1126/science.aaf0918</t>
  </si>
  <si>
    <t>Camerer, Colin and Dreber, Anna and Holzmeister, Felix and Ho, Teck and Huber, Jürgen and Johannesson, Magnus and Kirchler, Michael and Nave, Gideon and Nosek, Brian and Pfeiffer, Thomas and Altmejd, Adam and Buttrick, Nick and Chan, Taizan and Chen, Yiling and Forsell, Eskil and Gampa, Anup and Heikensten, Emma and Hummer, Lily and Imai, Taisuke and Wu, Hang</t>
  </si>
  <si>
    <t>10.1038/s41562-018-0399-z</t>
  </si>
  <si>
    <t>Nature Human Behaviour</t>
  </si>
  <si>
    <t>Evaluating the replicability of social science experiments in Nature and Science between 2010 and 2015</t>
  </si>
  <si>
    <t>Hern{\'a}ndez-Orallo, Jos{\'e}</t>
  </si>
  <si>
    <t>Artificial Intelligence Review</t>
  </si>
  <si>
    <t>397--447</t>
  </si>
  <si>
    <t>Evaluation in artificial intelligence: from task-oriented to ability-oriented measurement</t>
  </si>
  <si>
    <t>{JCGM}</t>
  </si>
  <si>
    <t>Joint Committee for Guides in Metrology</t>
  </si>
  <si>
    <t>Evaluation of Measurement Data -- Guide to the Expression of Uncertainty in Measurement</t>
  </si>
  <si>
    <t>https://www.bipm.org/documents/20126/2071204/JCGM_100_2008_E.pdf/cb0ef43f-baa5-11cf-3f85-4dcd86f77bd6</t>
  </si>
  <si>
    <t>Sambasivan, Nithya and Kapania, Shivani and Highfill, Hannah and Akrong, Diana and Paritosh, Praveen and Aroyo, Lora M</t>
  </si>
  <si>
    <t>Proceedings of the 2021 CHI Conference on Human Factors in Computing Systems</t>
  </si>
  <si>
    <t>10.1145/3411764.3445518</t>
  </si>
  <si>
    <t>AI, Data, Ghana, India, Kenya, ML, Nigeria, USA, Uganda, application-domain experts, data cascades, data collectors, data politics, data quality, developers, high-stakes AI, raters</t>
  </si>
  <si>
    <t>Yokohama, Japan</t>
  </si>
  <si>
    <t>CHI '21</t>
  </si>
  <si>
    <t>{Everyone wants to do the model work, not the data work: Data Cascades in High-Stakes AI}</t>
  </si>
  <si>
    <t>https://doi.org/10.1145/3411764.3445518</t>
  </si>
  <si>
    <t>Wang, Z. and Liu, C. and Cui, X.</t>
  </si>
  <si>
    <t>2021 IEEE Symposium on Computers and Communications (ISCC, Athens, Greece)</t>
  </si>
  <si>
    <t>10.1109/ISCC53001.2021.9631425</t>
  </si>
  <si>
    <t>1--7</t>
  </si>
  <si>
    <t>EvilModel: Hiding malware inside of neural network models</t>
  </si>
  <si>
    <t>https://doi.org/10.1109/ISCC53001.2021.9631425</t>
  </si>
  <si>
    <t>Graydon, Mallory S. and Lehman, Sarah M.</t>
  </si>
  <si>
    <t>{Examining Proposed Uses of LLMs to Produce or Assess Assurance Arguments}</t>
  </si>
  <si>
    <t>https://ntrs.nasa.gov/api/citations/20250001849/downloads/NASA-TM-20250001849.pdf</t>
  </si>
  <si>
    <t>Pearson, Helen and Ledford, Heidi and Hutson, Matthew and Van Noorden, Richard</t>
  </si>
  <si>
    <t>588--592</t>
  </si>
  <si>
    <t>Exclusive: The Most-cited Papers of the Twenty-first Century</t>
  </si>
  <si>
    <t>https://www.nature.com/articles/d41586-025-01125-9</t>
  </si>
  <si>
    <t>Hoes, Emma and Gilardi, Fabrizio</t>
  </si>
  <si>
    <t>e2419055122</t>
  </si>
  <si>
    <t>National Academy of Sciences</t>
  </si>
  <si>
    <t>Existential risk narratives about AI do not distract from its immediate harms</t>
  </si>
  <si>
    <t>https://www.pnas.org/doi/pdf/10.1073/pnas.2419055122</t>
  </si>
  <si>
    <t>Bussman, Niklas and Giudici, Paolo and Marinelli, Dimitri and Papenbrock, Jochen</t>
  </si>
  <si>
    <t>Credit Risk Management (December 18, 2019)</t>
  </si>
  <si>
    <t>URL: \url{https://papers.ssrn.com/sol3/papers.cfm?abstract_id=3506274}</t>
  </si>
  <si>
    <t>Explainable {AI} in {C}redit {R}isk {M}anagement</t>
  </si>
  <si>
    <t>Vaughan, Joel and Sudjianto, Agus and Brahimi, Erind and Chen, Jie and Nair, Vijayan N</t>
  </si>
  <si>
    <t>arXiv preprint arXiv:1806.01933</t>
  </si>
  <si>
    <t>URL: \url{https://arxiv.org/pdf/1806.01933.pdf}</t>
  </si>
  <si>
    <t>Explainable {N}eural {N}etworks {B}ased on {A}dditive {I}ndex {M}odels</t>
  </si>
  <si>
    <t>Leilani H Gilpin and David Bau and Ben Z. Yuan and Ayesha Bajwa and Michael Specter and Lalana Kagal</t>
  </si>
  <si>
    <t>arXiv preprint arXiv:1806.00069</t>
  </si>
  <si>
    <t>Explaining Explanations: An Approach to Evaluating Interpretability of Machine Learning</t>
  </si>
  <si>
    <t>https://arxiv.org/pdf/1806.00069.pdf</t>
  </si>
  <si>
    <t>Mothilal, Ramaravind K and Sharma, Amit and Tan, Chenhao</t>
  </si>
  <si>
    <t>Proceedings of the 2020 conference on fairness, accountability, and transparency</t>
  </si>
  <si>
    <t>URL: \url{https://dl.acm.org/doi/pdf/10.1145/3351095.3372850}</t>
  </si>
  <si>
    <t>607--617</t>
  </si>
  <si>
    <t>Explaining {M}achine {L}earning {C}lassifiers {T}hrough {D}iverse {C}ounterfactual {E}xplanations</t>
  </si>
  <si>
    <t>Hall, Patrick</t>
  </si>
  <si>
    <t>URL: \url{https://www.infoworld.com/article/3533369/explaining-machine-learning-models-to-the-business.html}</t>
  </si>
  <si>
    <t>InfoWorld</t>
  </si>
  <si>
    <t>Explaining {M}achine {L}earning {M}odels to the {B}usiness</t>
  </si>
  <si>
    <t>Scientists are increasingly collecting and using large volumes of data for their
research. In many instances, these data do not have personal identifiers (ie,
are deidentified), and current federal regulations allow scientists to use these
data without asking patients’ permission. The goal of this study was to
explore public perspectives about the policies and process institutions have in
place for scientists to access, use, and share deidentified patient data. We
conducted 6 focus groups with a total of 37 participants, ages 18–76.
Most participants were not surprised that scientists accessed and used
deidentified personal information for research, and were supportive of this
practice. That said, transparency was important to them. Participants wanted to
know when their data were accessed, for what purpose, and by whom, and they
supported establishment of an advisory council or group with responsibility for
deciding what data were used, who was accessing those data, and whether data
could be shared. The trust people have in their medical institutions should be
considered fragile, and institutions should not take that trust for granted. How
institutions choose to govern patients’ data and what voices are included
in decisions about use and access are critical to maintaining public trust.</t>
  </si>
  <si>
    <t>McCormick, Jennifer B and Hopkins, Margaret A</t>
  </si>
  <si>
    <t>10.1093/jamiaopen/ooab098</t>
  </si>
  <si>
    <t>2574-2531</t>
  </si>
  <si>
    <t>JAMIA Open</t>
  </si>
  <si>
    <t>ooab098</t>
  </si>
  <si>
    <t>PMC8672933</t>
  </si>
  <si>
    <t>Exploring public concerns for sharing and governance of personal health information</t>
  </si>
  <si>
    <t>Exploring public concerns for sharing and governance of personal health information: a focus group study</t>
  </si>
  <si>
    <t>https://www.ncbi.nlm.nih.gov/pmc/articles/PMC8672933/</t>
  </si>
  <si>
    <t>Raffel, Colin and Shazeer, Noam and Roberts, Adam and Lee, Katherine and Narang, Sharan and Matena, Michael and Zhou, Yanqi and Li, Wei and Liu, Peter J.</t>
  </si>
  <si>
    <t>1--67</t>
  </si>
  <si>
    <t>{Exploring the Limits of Transfer Learning with a Unified Text-to-Text Transformer}</t>
  </si>
  <si>
    <t>https://www.jmlr.org/papers/volume21/20-074/20-074.pdf</t>
  </si>
  <si>
    <t>Carlini, N. and others</t>
  </si>
  <si>
    <t>30th USENIX Security Symposium</t>
  </si>
  <si>
    <t>Extracting training data from large language models</t>
  </si>
  <si>
    <t>https://www.usenix.org/conference/usenixsecurity21/presentation/carlini-extracting</t>
  </si>
  <si>
    <t>Mark W. Craven and Jude W. Shavlik</t>
  </si>
  <si>
    <t>Extracting Tree-Structured Representations of Trained Networks</t>
  </si>
  <si>
    <t>http://papers.nips.cc/paper/1152-extracting-tree-structured-representations-of-trained-networks.pdf</t>
  </si>
  <si>
    <t>Nelson, A.</t>
  </si>
  <si>
    <t>\url{https://www.youtube.com/watch?v=Sq_XwqVTqvQ}</t>
  </si>
  <si>
    <t>FAccT'23 Keynote: "Thick Alignment"</t>
  </si>
  <si>
    <t>Phillips, P. J. and Grother, Patrick J. and Micheals, Ross J. and Blackburn, D. M. and Tabassi, Elham and Bone, Mike</t>
  </si>
  <si>
    <t>National Institute of Standards and Technology (NIST) Interagency Report (IR)</t>
  </si>
  <si>
    <t>{Face recognition vendor test 2002: Evaluation report}</t>
  </si>
  <si>
    <t>Robinson, Joseph P. and Livitz, Gennady and Henon, Yann and Qin, Can and Fu, Yun and Timoner, Samson</t>
  </si>
  <si>
    <t>Proceedings of the IEEE/CVF conference on computer vision and pattern recognition workshops</t>
  </si>
  <si>
    <t>Face recognition: too bias, or not too bias?</t>
  </si>
  <si>
    <t>Meta</t>
  </si>
  <si>
    <t>\url{https://ai.meta.com/blog/facebooks-five-pillars-of-responsible-ai/}</t>
  </si>
  <si>
    <t>Facebook’s Five Pillars of Responsible AI</t>
  </si>
  <si>
    <t>Yuxia Wang and Minghan Wang and Muhammad Arslan Manzoor and Fei Liu and Georgi Nenkov Georgiev and Rocktim Jyoti Das and Preslav Nakov</t>
  </si>
  <si>
    <t>pp. 19519-19529.</t>
  </si>
  <si>
    <t>Factuality of large language models: A survey</t>
  </si>
  <si>
    <t>Grari, Vincent and Ruf, Boris and Lamprier, Sylvain and Detyniecki, Marcin</t>
  </si>
  <si>
    <t>2019 IEEE International Conference on Data Mining (ICDM)</t>
  </si>
  <si>
    <t>1060--1065</t>
  </si>
  <si>
    <t>{Fair Adversarial Gradient Tree Boosting}</t>
  </si>
  <si>
    <t>https://arxiv.org/pdf/1911.05369</t>
  </si>
  <si>
    <t>Keinan, Alon and Sandbank, Ben and Hilgetag, Claus C and Meilijson, Isaac and Ruppin, Eytan</t>
  </si>
  <si>
    <t>Neural Computation</t>
  </si>
  <si>
    <t>URL: \url{https://bit.ly/35kHrwK}</t>
  </si>
  <si>
    <t>1887--1915</t>
  </si>
  <si>
    <t>MIT Press</t>
  </si>
  <si>
    <t>Fair {A}ttribution of {F}unctional {C}ontribution in {A}rtificial and {B}iological {N}etworks</t>
  </si>
  <si>
    <t>Selbst, A. D. and others</t>
  </si>
  <si>
    <t>10.1145/3287560.3287598</t>
  </si>
  <si>
    <t>59--68</t>
  </si>
  <si>
    <t>Fairness and abstraction in sociotechnical systems</t>
  </si>
  <si>
    <t>https://doi.org/10.1145/3287560.3287598</t>
  </si>
  <si>
    <t>Ekstrand, Michael D. and Burke, Robin and Diaz, Fernando</t>
  </si>
  <si>
    <t>Proceedings of the 42nd International ACM SIGIR Conference on Research and Development in Information Retrieval</t>
  </si>
  <si>
    <t>1403--1404</t>
  </si>
  <si>
    <t>{Fairness and Discrimination in Retrieval and Recommendation}</t>
  </si>
  <si>
    <t>Solon Barocas and Moritz Hardt and Arvind Narayanan</t>
  </si>
  <si>
    <t>URL: \url{http://www.fairmlbook.org}</t>
  </si>
  <si>
    <t>fairmlbook.org</t>
  </si>
  <si>
    <t>Fairness and {M}achine {L}earning</t>
  </si>
  <si>
    <t>Zafar, Muhammad Bilal and Valera, Isabel and Gomez Rodriguez, Manuel and Gummadi, Krishna P.</t>
  </si>
  <si>
    <t>Proceedings of the 26th International Conference on World Wide Web</t>
  </si>
  <si>
    <t>URL: \url{https://arxiv.org/pdf/1610.08452.pdf}</t>
  </si>
  <si>
    <t>International World Wide Web Conferences Steering Committee</t>
  </si>
  <si>
    <t>1171--1180</t>
  </si>
  <si>
    <t>Fairness {B}eyond {D}isparate {T}reatment \&amp; {D}isparate {I}mpact: {L}earning {C}lassification {W}ithout {D}isparate {M}istreatment</t>
  </si>
  <si>
    <t>Ekstrand, Michael D. and Das, Anubrata and Burke, Robin and Diaz, Fernando and others</t>
  </si>
  <si>
    <t>Foundations and Trends{\textregistered} in Information Retrieval</t>
  </si>
  <si>
    <t>1--177</t>
  </si>
  <si>
    <t>Now Publishers, Inc.</t>
  </si>
  <si>
    <t>{Fairness in Information Access Systems}</t>
  </si>
  <si>
    <t>Dwork, Cynthia and Hardt, Moritz and Pitassi, Toniann and Reingold, Omer and Zemel, Richard</t>
  </si>
  <si>
    <t>Proceedings of the 3rd Innovations in Theoretical Computer Science Conference</t>
  </si>
  <si>
    <t>214--226</t>
  </si>
  <si>
    <t>Fairness {T}hrough {A}wareness</t>
  </si>
  <si>
    <t>https://arxiv.org/pdf/1104.3913.pdf</t>
  </si>
  <si>
    <t>Aïvodji, U. and others</t>
  </si>
  <si>
    <t>Proceedings of the International Conference on Machine Learning</t>
  </si>
  <si>
    <t>10.48550/arXiv.1901.09749</t>
  </si>
  <si>
    <t>161--170</t>
  </si>
  <si>
    <t>Fairwashing: the risk of rationalization</t>
  </si>
  <si>
    <t>https://doi.org/10.48550/arXiv.1901.09749</t>
  </si>
  <si>
    <t>Ravichandran, Srinivasan and Khurana, Drona and Venkatesh, Bharath and Edakunni, Narayanan Unny</t>
  </si>
  <si>
    <t>arXiv preprint arXiv:2009.01442</t>
  </si>
  <si>
    <t>{Fairxgboost: Fairness-aware Classification in XGBoost}</t>
  </si>
  <si>
    <t>https://arxiv.org/pdf/2009.01442</t>
  </si>
  <si>
    <t>Flores, Anthony W. and Bechtel, Kristin and Lowenkamp, Christopher T.</t>
  </si>
  <si>
    <t>Fed. Probation</t>
  </si>
  <si>
    <t>URL: \url{https://bit.ly/2Gesf9Y}</t>
  </si>
  <si>
    <t>False {P}ositives, {F}alse {N}egatives, and {F}alse {A}nalyses: {A} {R}ejoinder to {M}achine {B}ias: {T}here's {S}oftware {U}sed {A}cross the {C}ountry to {P}redict {F}uture {C}riminals. {A}nd {I}t's {B}iased against {B}lacks</t>
  </si>
  <si>
    <t>Aiello, S. and Eckstrand, E. and Fu, A. and Landry, M. and Lanford, J. and Aboyoun, P.</t>
  </si>
  <si>
    <t>Fast Scalable R with H2O</t>
  </si>
  <si>
    <t>Hulot, Audrey and Chiquet, Julien and Jaffr{\'e}zic, Florence and Rigaill, Guillem</t>
  </si>
  <si>
    <t>BMC Bioinformatics</t>
  </si>
  <si>
    <t>{Fast Tree Aggregation for Consensus Hierarchical Clustering}</t>
  </si>
  <si>
    <t>https://link.springer.com/article/10.1186/s12859-020-3453-6</t>
  </si>
  <si>
    <t>Blondel, Vincent D. and Guillaume, Jean-Loup and Lambiotte, Renaud and Lefebvre, Etienne</t>
  </si>
  <si>
    <t>Journal of Statistical Mechanics: Theory and Experiment</t>
  </si>
  <si>
    <t>P10008</t>
  </si>
  <si>
    <t>IOP Publishing</t>
  </si>
  <si>
    <t>{Fast Unfolding of Communities in Large Networks}</t>
  </si>
  <si>
    <t>https://iopscience.iop.org/article/10.1088/1742-5468/2008/10/P10008/pdf</t>
  </si>
  <si>
    <t>Janzing, Dominik and Minorics, Lenon and Bl{\"o}baum, Patrick</t>
  </si>
  <si>
    <t>International Conference on Artificial Intelligence and Statistics</t>
  </si>
  <si>
    <t>URL: \url{http://proceedings.mlr.press/v108/janzing20a/janzing20a.pdf}</t>
  </si>
  <si>
    <t>PMLR</t>
  </si>
  <si>
    <t>2907--2916</t>
  </si>
  <si>
    <t>Feature {R}elevance {Q}uantification in {E}xplainable {AI}: a {C}ausal {P}roblem</t>
  </si>
  <si>
    <t>Zhao, Yiran and Zhang, Jinghan and Chern, I and Gao, Siyang and Liu, Pengfei and He, Junxian and others</t>
  </si>
  <si>
    <t>44502--44523</t>
  </si>
  <si>
    <t>Felm: Benchmarking factuality evaluation of large language models</t>
  </si>
  <si>
    <t>Soylu, Dilara and Potts, Christopher and Khattab, Omar</t>
  </si>
  <si>
    <t>arXiv preprint arXiv:2407.10930</t>
  </si>
  <si>
    <t>Fine-tuning and prompt optimization: Two great steps that work better together</t>
  </si>
  <si>
    <t>https://arxiv.org/pdf/2407.10930</t>
  </si>
  <si>
    <t>Brenda Leong and Patrick Hall</t>
  </si>
  <si>
    <t>URL: \url{https://www.abajournal.com/columns/article/5-things-lawyers-should-know-about-artificial-intelligence/}</t>
  </si>
  <si>
    <t>American BAr Association Journal</t>
  </si>
  <si>
    <t>Five {T}hings {L}awyers {S}hould {K}now {A}bout {A}rtificial {I}ntelligence</t>
  </si>
  <si>
    <t>Rauber, Jonas and Brendel, Wieland and Bethge, Matthias</t>
  </si>
  <si>
    <t>arXiv preprint arXiv:1707.04131</t>
  </si>
  <si>
    <t>URL: \url{https://arxiv.org/pdf/1707.04131.pdf}</t>
  </si>
  <si>
    <t>{F}oolbox: {A} {P}ython {T}oolbox to {B}enchmark the {R}obustness of {M}achine {L}earning {M}odels</t>
  </si>
  <si>
    <t>Slack, D. and others</t>
  </si>
  <si>
    <t>AAAI/ACM Conference on AI, Ethics, and Society</t>
  </si>
  <si>
    <t>10.48550/arXiv.1911.02508</t>
  </si>
  <si>
    <t>180--186</t>
  </si>
  <si>
    <t>Fooling LIME and SHAP: Adversarial attacks on post hoc explanation methods</t>
  </si>
  <si>
    <t>https://doi.org/10.48550/arXiv.1911.02508</t>
  </si>
  <si>
    <t>Baniecki, H. and Kretowicz, W. and Biecek, P.</t>
  </si>
  <si>
    <t>European Conference on Machine Learning and Knowledge Discovery in Databases</t>
  </si>
  <si>
    <t>10.48550/arXiv.2105.12837</t>
  </si>
  <si>
    <t>121--136</t>
  </si>
  <si>
    <t>Fooling partial dependence via data poisoning</t>
  </si>
  <si>
    <t>https://doi.org/10.48550/arXiv.2105.12837</t>
  </si>
  <si>
    <t>L. Prives</t>
  </si>
  <si>
    <t>10.1109/MWIE.2016.2535841</t>
  </si>
  <si>
    <t>1942-065X</t>
  </si>
  <si>
    <t>IEEE Women in Engineering Magazine</t>
  </si>
  <si>
    <t>Creativity;Education;Engineering profession;Media;Technological innovation</t>
  </si>
  <si>
    <t>37-39</t>
  </si>
  <si>
    <t>For Whom the Bell Tolls: Inventing success through creativity and analytical skills [WIE from Around the World]</t>
  </si>
  <si>
    <t>Calum F. Leask and Marlene Sandlund and Dawn A. Skelton and Teatske M. Altenburg and  Greet Cardon and others</t>
  </si>
  <si>
    <t>10.1186/s40900-018-0136-9</t>
  </si>
  <si>
    <t>Res Involv Engagem</t>
  </si>
  <si>
    <t>1153-1156</t>
  </si>
  <si>
    <t>Framework, principles and recommendations for utilising participatory methodologies in the co-creation and evaluation of public health interventions</t>
  </si>
  <si>
    <t>Gopinathan, Krishna M. and Biafore, Louis S. and Ferguson, William M. and Lazarus, Michael A. and Pathria, Anu K. and Jost, Allen</t>
  </si>
  <si>
    <t>October~6</t>
  </si>
  <si>
    <t>US Patent 5,819,226. URL: \url{https://patents.google.com/patent/US5819226A}</t>
  </si>
  <si>
    <t>Google Patents</t>
  </si>
  <si>
    <t>Fraud {D}etection using {P}redictive {M}odeling</t>
  </si>
  <si>
    <t>Proksch, Michael and Hall, Patrick</t>
  </si>
  <si>
    <t>URL: \url{https://www.h2o.ai/blog/from-glm-to-gbm-part-1/}</t>
  </si>
  <si>
    <t>H2O.ai</t>
  </si>
  <si>
    <t>From {GLM} to {GBM} – {P}art 1: {H}ow an Economics Nobel Prize could revolutionize insurance and lending</t>
  </si>
  <si>
    <t>Hall, Patrick and Michael Proksch</t>
  </si>
  <si>
    <t>URL: \url{https://www.h2o.ai/blog/from-glm-to-gbm-part-2/}</t>
  </si>
  <si>
    <t>From {GLM} to {GBM} – {P}art 2: {H}ow an Economics Nobel Prize could revolutionize insurance and lending</t>
  </si>
  <si>
    <t>Wang, S. and Cooper, N. and Eby, M.</t>
  </si>
  <si>
    <t>10.1177/20539517241290220</t>
  </si>
  <si>
    <t>From human-centered to social-centered artificial intelligence: Assessing ChatGPT’s impact through disruptive events</t>
  </si>
  <si>
    <t>https://doi.org/10.1177/20539517241290220</t>
  </si>
  <si>
    <t>Shalaleh Rismani and Renee Shelby and Andrew Smart and Edgar Jatho and Joshua Kroll and AJung Moon and Negar Rostamzadeh</t>
  </si>
  <si>
    <t>cs.HC</t>
  </si>
  <si>
    <t>From plane crashes to algorithmic harm: applicability of safety engineering frameworks for responsible ML</t>
  </si>
  <si>
    <t>https://arxiv.org/abs/2210.03535</t>
  </si>
  <si>
    <t>Chehbouni, Khaoula and Roshan, Megha and Ma, Emmanuel and Wei, Futian and Taik, Afaf and Cheung, Jackie Chi Kit and Farnadi, Golnoosh</t>
  </si>
  <si>
    <t>Findings of the Association for Computational Linguistics ACL 2024</t>
  </si>
  <si>
    <t>15694--15710</t>
  </si>
  <si>
    <t>From Representational Harms to Quality-of-Service Harms: A Case Study on Llama 2 Safety Safeguards</t>
  </si>
  <si>
    <t>Frontier Model Forum</t>
  </si>
  <si>
    <t>\url{https://www.frontiermodelforum.org/uploads/2023/10/FMF-AI-Red-Teaming.pdf}</t>
  </si>
  <si>
    <t>Frontier Model Forum: What is Red Teaming?</t>
  </si>
  <si>
    <t>Pattern Recognition</t>
  </si>
  <si>
    <t>URL: \url{https://www.sciencedirect.com/science/article/abs/pii/S0031320321003484}</t>
  </si>
  <si>
    <t>{GAMI-N}et: {A}n {E}xplainable {N}eural {N}etwork {B}ased on {G}eneralized {A}dditive {M}odels with {S}tructured {I}nteractions</t>
  </si>
  <si>
    <t>Leon Derczynski and Erick Galinkin and Jeffrey Martin and Subho Majumdar and Nanna Inie</t>
  </si>
  <si>
    <t>{garak: A Framework for Security Probing Large Language Models}</t>
  </si>
  <si>
    <t>https://garak.ai</t>
  </si>
  <si>
    <t>Buolamwini, Joy and Gebru, Timnit</t>
  </si>
  <si>
    <t>Conference on Fairness, Accountability and Transparency</t>
  </si>
  <si>
    <t>URL: \url{http://proceedings.mlr.press/v81/buolamwini18a/buolamwini18a.pdf}</t>
  </si>
  <si>
    <t>77--91</t>
  </si>
  <si>
    <t>Gender {S}hades: {I}ntersectional {A}ccuracy {D}isparities in {C}ommercial {G}ender {C}lassification</t>
  </si>
  <si>
    <t>Zhou, Lexin and Pacchiardi, Lorenzo and Mart{\'\i}nez-Plumed, Fernando and Collins, Katherine M and Moros-Daval, Yael and Zhang, Seraphina and Zhao, Qinlin and Huang, Yitian and Sun, Luning and Prunty, Jonathan E. and others</t>
  </si>
  <si>
    <t>58--67</t>
  </si>
  <si>
    <t>{General Scales Unlock AI Evaluation with Explanatory and Predictive Power}</t>
  </si>
  <si>
    <t>Hussami, N. and Kraljevic, T. and Lanford, J. and Nykodym, T. and Rao, A. and Wang, A.</t>
  </si>
  <si>
    <t>Generalized Linear Modeling with H2O</t>
  </si>
  <si>
    <t>Udell, Madeleine and Horn, Corinne and Zadeh, Reza and Boyd, Stephen and others</t>
  </si>
  <si>
    <t>Foundations and Trends{\textregistered} in Machine Learning</t>
  </si>
  <si>
    <t>URL: \url{https://www.nowpublishers.com/article/Details/MAL-055}</t>
  </si>
  <si>
    <t>1--118</t>
  </si>
  <si>
    <t>Generalized {L}ow {R}ank {M}odels</t>
  </si>
  <si>
    <t>Appel, Gil and Neelbauer, Juliana and Schweidel, David A.</t>
  </si>
  <si>
    <t>Harvard Business Review</t>
  </si>
  <si>
    <t>accessed 2025-05-19</t>
  </si>
  <si>
    <t>Generative {AI} {Has} an {Intellectual} {Property} {Problem}</t>
  </si>
  <si>
    <t>https://hbr.org/2023/04/generative-ai-has-an-intellectual-property-problem</t>
  </si>
  <si>
    <t>Victor Storchan and Ravin Kumar and Rumman Chowdhury and Seraphina Goldfarb-Tarrant and Sven Cattell</t>
  </si>
  <si>
    <t>\url{https://www.scribd.com/document/748509452/2024-Generative-AI-Red-Teaming-Transparency-Report}</t>
  </si>
  <si>
    <t>Generative AI Red Teaming Challenge: Transparency Report</t>
  </si>
  <si>
    <t>Patrick Hall and Daniel Atherton</t>
  </si>
  <si>
    <t>GitHub Repository</t>
  </si>
  <si>
    <t>{Generative AI Risk Management Resources}</t>
  </si>
  <si>
    <t>https://github.com/jphall663/gai_risk_management</t>
  </si>
  <si>
    <t>The widespread use of Chat Generative Pre-trained Transformer (known as ChatGPT) and other emerging technology that is powered by generative artificial intelligence (GenAI) has drawn attention to the potential ethical issues they can cause, especially in high-stakes applications such as health care, but ethical discussions have not yet been translated into operationalisable solutions. Furthermore, ongoing ethical discussions often neglect other types of GenAI that have been used to synthesise data (eg, images) for research and practical purposes, which resolve some ethical issues and expose others. We did a scoping review of the ethical discussions on GenAI in health care to comprehensively analyse gaps in the research. To reduce the gaps, we have developed a checklist for comprehensive assessment and evaluation of ethical discussions in GenAI research. The checklist can be integrated into peer review and publication systems to enhance GenAI research and might be useful for ethics-related disclosures for GenAI-powered products and health-care applications of such products and beyond.</t>
  </si>
  <si>
    <t>Ning, Yilin and Teixayavong, Salinelat and Shang, Yuqing and Savulescu, Julian and Nagaraj, Vaishaanth and Miao, Di and Mertens, Mayli and Ting, Daniel Shu Wei and Ong, Jasmine Chiat Ling and Liu, Mingxuan and Cao, Jiuwen and Dunn, Michael and Vaughan, Roger and Ong, Marcus Eng Hock and Sung, Joseph Jao-Yiu and Topol, Eric J and Liu, Nan</t>
  </si>
  <si>
    <t>10.1016/S2589-7500(24)00143-2</t>
  </si>
  <si>
    <t>2589-7500</t>
  </si>
  <si>
    <t>The Lancet Digital Health</t>
  </si>
  <si>
    <t>e848--e856</t>
  </si>
  <si>
    <t>Generative artificial intelligence and ethical considerations in health care</t>
  </si>
  <si>
    <t>Generative artificial intelligence and ethical considerations in health care: a scoping review and ethics checklist</t>
  </si>
  <si>
    <t>https://www.sciencedirect.com/science/article/pii/S2589750024001432</t>
  </si>
  <si>
    <t>Hack the Future</t>
  </si>
  <si>
    <t>\url{https://www.hackthefuture.com/news/generative-red-team-challenge-opens-next-friday-at-def-con-31}</t>
  </si>
  <si>
    <t>Generative Red Team Challenge Opens Next Friday at DEF CON 31</t>
  </si>
  <si>
    <t>Kevin Buehler and Rachel Dooley and Liz Grennan and Alex Singla and Andrew Burt and Patrick Hall</t>
  </si>
  <si>
    <t>URL: \url{https://www.mckinsey.com/capabilities/quantumblack/our-insights/getting-to-know-and-manage-your-biggest-ai-risks}</t>
  </si>
  <si>
    <t>Mckinsey.com</t>
  </si>
  <si>
    <t>Getting to know—and manage—your biggest AI risks</t>
  </si>
  <si>
    <t>Shan, Shawn and Cryan, Jenna and Wenger, Emily and Zheng, Haitao and Hanocka, Rana and Zhao, Ben Y</t>
  </si>
  <si>
    <t>32nd USENIX Security Symposium (USENIX Security 23)</t>
  </si>
  <si>
    <t>2187--2204</t>
  </si>
  <si>
    <t>Glaze: Protecting artists from style mimicry by $\{$Text-to-Image$\}$ models</t>
  </si>
  <si>
    <t>This tracker identifies AI legislative and policy developments in a subset of jurisdictions.</t>
  </si>
  <si>
    <t>International Association of Privacy Professionals</t>
  </si>
  <si>
    <t>Global Law and Policy Tracker</t>
  </si>
  <si>
    <t>https://iapp.org/resources/article/global-ai-legislation-tracker/</t>
  </si>
  <si>
    <t>Kohavi, R. and Provost, F.</t>
  </si>
  <si>
    <t>\url{http://robotics.stanford.edu/~ronnyk/glossary.html}</t>
  </si>
  <si>
    <t>Glossary of Terms Special Issue on Applications of Machine Learning and the Knowledge Discovery Process</t>
  </si>
  <si>
    <t>Pennington, Jeffrey and Socher, Richard and Manning, Christopher D.</t>
  </si>
  <si>
    <t>Proceedings of the 2014 conference on empirical methods in natural language processing (EMNLP)</t>
  </si>
  <si>
    <t>1532--1543</t>
  </si>
  <si>
    <t>{Glove: Global vectors for word representation}</t>
  </si>
  <si>
    <t>https://aclanthology.org/D14-1162.pdf</t>
  </si>
  <si>
    <t>Wang, Alex and Singh, Amanpreet and Michael, Julian and Hill, Felix and Levy, Omer and Bowman, Samuel</t>
  </si>
  <si>
    <t>Proceedings of the 2018 EMNLP Workshop BlackboxNLP: Analyzing and Interpreting Neural Networks for NLP</t>
  </si>
  <si>
    <t>353--355</t>
  </si>
  <si>
    <t>{GLUE: A Multi-task Benchmark and Analysis Platform for Natural Language Understanding}</t>
  </si>
  <si>
    <t>https://aclanthology.org/W18-5446.pdf</t>
  </si>
  <si>
    <t>Christian Szegedy and Wei Liu and Yangqing Jia and Pierre Sermanet and Scott E. Reed and Dragomir Anguelov and Dumitru Erhan and Vincent Vanhoucke and Andrew Rabinovich</t>
  </si>
  <si>
    <t>https://arxiv.org/pdf/1409.4842.pdf</t>
  </si>
  <si>
    <t>Going Deeper with Convolutions</t>
  </si>
  <si>
    <t>Vela, E. and others</t>
  </si>
  <si>
    <t>\url{https://security.googleblog.com/2023/10/googles-reward-criteria-for-reporting.html}</t>
  </si>
  <si>
    <t>Google’s Reward Criteria for Reporting Bugs in AI Products</t>
  </si>
  <si>
    <t>OECD Artificial Intelligence Papers</t>
  </si>
  <si>
    <t>10.1787/26324bc2-en</t>
  </si>
  <si>
    <t>Governing with Artificial Intelligence</t>
  </si>
  <si>
    <t>https://www.oecd.org/en/publications/governing-with-artificial-intelligence_26324bc2-en.html</t>
  </si>
  <si>
    <t>Achiam, J. and others</t>
  </si>
  <si>
    <t>GPT-4 technical report</t>
  </si>
  <si>
    <t>https://arxiv.org/abs/2303.08774</t>
  </si>
  <si>
    <t>Click, C. and Lanford, J. and Malohlava, M. and Parmar, V. and Roark, H.</t>
  </si>
  <si>
    <t>Gradient Boosted Models</t>
  </si>
  <si>
    <t>Yann LeCun and Bottou, Leon and Bengio, Yoshua and Haffner, Patrick</t>
  </si>
  <si>
    <t>http://yann.lecun.com/exdb/publis/pdf/lecun-01a.pdf</t>
  </si>
  <si>
    <t>\textit{Proceedings of the IEEE}</t>
  </si>
  <si>
    <t>Gradient-Based Learning Applied to Document Recognition</t>
  </si>
  <si>
    <t>The Annals of Statistics</t>
  </si>
  <si>
    <t>URL: \url{https://projecteuclid.org/download/pdf_1/euclid.aos/1013203451}</t>
  </si>
  <si>
    <t>1189--1232</t>
  </si>
  <si>
    <t>JSTOR</t>
  </si>
  <si>
    <t>Greedy {F}unction {A}pproximation: a {G}radient {B}oosting {M}achine</t>
  </si>
  <si>
    <t>Saleema Amershi and Dan Weld and Mihaela Vorvoreanu and Adam Fourney and Besmira Nushi and Penny Collisson and Jina Suh and others</t>
  </si>
  <si>
    <t>Proceedings of the 2019 CHI conference on human factors in computing systems</t>
  </si>
  <si>
    <t>pp. 1-13. 2019.</t>
  </si>
  <si>
    <t>Guidelines for human-{AI} interaction</t>
  </si>
  <si>
    <t>Hall, Patrick and Navdeep Gill and Nicholas Schmidt</t>
  </si>
  <si>
    <t>arXiv preprint arXiv:1906.03533</t>
  </si>
  <si>
    <t>URL: \url{https://arxiv.org/pdf/1906.03533.pdf}</t>
  </si>
  <si>
    <t>Guidelines for the {R}esponsible {U}se of {E}xplainable {M}achine {L}earning</t>
  </si>
  <si>
    <t>H2O.ai Team</t>
  </si>
  <si>
    <t>http://data.h2o.ai</t>
  </si>
  <si>
    <t>H2O Datasets</t>
  </si>
  <si>
    <t>\the\year</t>
  </si>
  <si>
    <t>http://docs.h2o.ai</t>
  </si>
  <si>
    <t>H2O documentation</t>
  </si>
  <si>
    <t>https://github.com/h2oai</t>
  </si>
  <si>
    <t>H2O GitHub Repository</t>
  </si>
  <si>
    <t>https://github.com/h2oai/h2o/tree/master/docs/deeplearning/DeepLearningRVignetteDemo</t>
  </si>
  <si>
    <t>online</t>
  </si>
  <si>
    <t>H2O GitHub repository for Deep Learning documentation</t>
  </si>
  <si>
    <t>https://jira.h2o.ai</t>
  </si>
  <si>
    <t>H2O JIRA</t>
  </si>
  <si>
    <t>http://h2o-release.s3.amazonaws.com/h2o/latest_stable_Pydoc.html</t>
  </si>
  <si>
    <t>H2O Python Documentation</t>
  </si>
  <si>
    <t>http://h2o-release.s3.amazonaws.com/h2o/latest_stable_Rdoc.html</t>
  </si>
  <si>
    <t>H2O R Package Documentation</t>
  </si>
  <si>
    <t>http://h2o.ai</t>
  </si>
  <si>
    <t>H2O website</t>
  </si>
  <si>
    <t>http://www.h2o.ai</t>
  </si>
  <si>
    <t>Python package version 3.1.0.99999</t>
  </si>
  <si>
    <t>h2o: Python Interface for H2O</t>
  </si>
  <si>
    <t>R package version 3.1.0.99999</t>
  </si>
  <si>
    <t>h2o: R Interface for H2O</t>
  </si>
  <si>
    <t>version 3.1.0.99999</t>
  </si>
  <si>
    <t>H2O: Scalable Machine Learning</t>
  </si>
  <si>
    <t>https://groups.google.com/d/forum/h2ostream</t>
  </si>
  <si>
    <t>H2Ostream</t>
  </si>
  <si>
    <t>HuggingFace</t>
  </si>
  <si>
    <t>\url{https://huggingface.co/spaces/hallucinations-leaderboard/leaderboard}</t>
  </si>
  <si>
    <t>Hallucinations Leaderboard</t>
  </si>
  <si>
    <t>As AI systems are integrated into high stakes social domains, researchers now examine how to design and operate them in a safe and ethical manner. However, the criteria for identifying and diagnosing safety risks in complex social contexts remain unclear and contested. In this paper, we examine the vagueness in debates about the safety and ethical behavior of AI systems. We show how this vagueness cannot be resolved through mathematical formalism alone, instead requiring deliberation about the politics of development as well as the context of deployment. Drawing from a new sociotechnical lexicon, we redefine vagueness in terms of distinct design challenges at key stages in AI system development. The resulting framework of Hard Choices in Artificial Intelligence (HCAI) empowers developers by 1) identifying points of overlap between design decisions and major sociotechnical challenges; 2) motivating the creation of stakeholder feedback channels so that safety issues can be exhaustively addressed. As such, HCAI contributes to a timely debate about the status of AI development in democratic societies, arguing that deliberation should be the goal of AI Safety, not just the procedure by which it is ensured.</t>
  </si>
  <si>
    <t>Roel Dobbe and Thomas {Krendl Gilbert} and Yonatan Mintz</t>
  </si>
  <si>
    <t>https://doi.org/10.1016/j.artint.2021.103555</t>
  </si>
  <si>
    <t>0004-3702</t>
  </si>
  <si>
    <t>Artificial Intelligence</t>
  </si>
  <si>
    <t>AI ethics, AI safety, AI governance, AI regulation, Philosophy of artificial intelligence, Sociotechnical systems</t>
  </si>
  <si>
    <t>Hard choices in artificial intelligence</t>
  </si>
  <si>
    <t>https://www.sciencedirect.com/science/article/pii/S0004370221001065</t>
  </si>
  <si>
    <t>Dorn, Rebecca and Kezar, Lee and Morstatter, Fred and Lerman, Kristina</t>
  </si>
  <si>
    <t>Proceedings of the 4th ACM Conference on Equity and Access in Algorithms, Mechanisms, and Optimization</t>
  </si>
  <si>
    <t>1--12</t>
  </si>
  <si>
    <t>Harmful speech detection by language models exhibits gender-queer dialect bias</t>
  </si>
  <si>
    <t>The Internet of Medical Things, Smart Devices, Information Systems, and Cloud Services have led to a digital transformation of the healthcare industry. Digital healthcare services have paved the way for easier and more accessible treatment, thus making our lives far more comfortable. However, the present day healthcare industry has also become the main victim of external as well as internal attacks. Data breaches are not just a concern and complication for security experts; they also affect clients, stakeholders, organizations, and businesses. Though the data breaches are of different types, their impact is almost always the same. This study provides insights into the various categories of data breaches faced by different organizations. The main objective is to do an in-depth analysis of healthcare data breaches and draw inferences from them, thereby using the findings to improve healthcare data confidentiality. The study found that hacking/IT incidents are the most prevalent forms of attack behind healthcare data breaches, followed by unauthorized internal disclosures. The frequency of healthcare data breaches, magnitude of exposed records, and financial losses due to breached records are increasing rapidly. Data from the healthcare industry is regarded as being highly valuable. This has become a major lure for the misappropriation and pilferage of healthcare data. Addressing this anomaly, the present study employs the simple moving average method and the simple exponential soothing method of time series analysis to examine the trend of healthcare data breaches and their cost. Of the two methods, the simple moving average method provided more reliable forecasting results.</t>
  </si>
  <si>
    <t>Seh, Adil Hussain and Zarour, Mohammad and Alenezi, Mamdouh and Sarkar, Amal Krishna and Agrawal, Alka and Kumar, Rajeev and Ahmad Khan, Raees</t>
  </si>
  <si>
    <t>10.3390/healthcare8020133</t>
  </si>
  <si>
    <t>Full Text:C\:\\Users\\st3\\Zotero\\storage\\8TC5JV9I\\Seh et al. - 2020 - Healthcare Data Breaches Insights and Implication.pdf:application/pdf</t>
  </si>
  <si>
    <t>2227-9032</t>
  </si>
  <si>
    <t>Healthcare</t>
  </si>
  <si>
    <t>PMC7349636</t>
  </si>
  <si>
    <t>Healthcare {Data} {Breaches}</t>
  </si>
  <si>
    <t>Healthcare {Data} {Breaches}: {Insights} and {Implications}</t>
  </si>
  <si>
    <t>https://www.ncbi.nlm.nih.gov/pmc/articles/PMC7349636/</t>
  </si>
  <si>
    <t>Elmqvist, Niklas and Fekete, Jean-Daniel</t>
  </si>
  <si>
    <t>IEEE Transactions on Visualization and Computer Graphics</t>
  </si>
  <si>
    <t>439--454</t>
  </si>
  <si>
    <t>{Hierarchical Aggregation for Information Visualization: Overview, Techniques, and Design Guidelines}</t>
  </si>
  <si>
    <t>https://inria.hal.science/hal-00696751/PDF/hieragg.pdf</t>
  </si>
  <si>
    <t>Ying, Zhitao and You, Jiaxuan and Morris, Christopher and Ren, Xiang and Hamilton, Will and Leskovec, Jure</t>
  </si>
  <si>
    <t>{Hierarchical Graph Representation Learning with Differentiable Pooling}</t>
  </si>
  <si>
    <t>https://cs.stanford.edu/people/jure/pubs/diffpool-neurips18.pdf</t>
  </si>
  <si>
    <t>Recht, Benjamin and Re, Christopher and Wright, Stephen and Niu, Feng</t>
  </si>
  <si>
    <t>Advances in Neural Information Processing Systems (NIPS)</t>
  </si>
  <si>
    <t>URL: \url{https://papers.nips.cc/paper/4390-hogwild-a-lock-free-approach-to-parallelizing-stochastic-gradient-descent.pdf}</t>
  </si>
  <si>
    <t>693--701</t>
  </si>
  <si>
    <t>{H}{O}{G}{W}{I}{L}{D}: {A} {L}ock-free {A}pproach to {P}arallelizing {S}tochastic {G}radient {D}escent</t>
  </si>
  <si>
    <t>Bommasani, Rishi and Liang, Percy and Lee, Tony</t>
  </si>
  <si>
    <t>Annals of the New York Academy of Sciences</t>
  </si>
  <si>
    <t>140--146</t>
  </si>
  <si>
    <t>{Holistic Evaluation of Language Models}</t>
  </si>
  <si>
    <t>https://nyaspubs.onlinelibrary.wiley.com/doi/abs/10.1111/nyas.15007</t>
  </si>
  <si>
    <t>Liang, Percy and Bommasani, Rishi and Lee, Tony and Tsipras, Dimitris and Soylu, Dilara and Yasunaga, Michihiro and Zhang, Yian and Narayanan, Deepak and Wu, Yuhuai and Kumar, Ananya and others</t>
  </si>
  <si>
    <t>Trans. Mach. Learn. Res.</t>
  </si>
  <si>
    <t>Larissa Chazette and Jil Klünder and Merve Balci and Kurt Schneider</t>
  </si>
  <si>
    <t>Proceedings of the International Conference on Software and System Processes and International Conference on Global Software Engineering</t>
  </si>
  <si>
    <t>pp. 1-12. 2022.</t>
  </si>
  <si>
    <t>{How can we develop explainable systems? Insights from a literature review and an interview study}</t>
  </si>
  <si>
    <t>Slack, Dylan and Hilgard, Sophie and Jia, Emily and Singh, Sameer and Lakkaraju, Himabindu</t>
  </si>
  <si>
    <t>arXiv preprint arXiv:1911.02508</t>
  </si>
  <si>
    <t>URL: \url{https://arxiv.org/pdf/1911.02508.pdf}</t>
  </si>
  <si>
    <t>How {C}an {W}e {F}ool {L}{I}{M}{E} and {S}{H}{A}{P}? {A}dversarial {A}ttacks on {P}ost-hoc {E}xplanation {M}ethods</t>
  </si>
  <si>
    <t>David Ameller and Claudia Ayala and Jordi Cabot and Xavier Franch</t>
  </si>
  <si>
    <t>2012 20th IEEE international requirements engineering conference</t>
  </si>
  <si>
    <t>pp. 41-50.</t>
  </si>
  <si>
    <t>{How do software architects consider non-functional requirements: An exploratory study}</t>
  </si>
  <si>
    <t>Raphaël Khoury and Anderson R. Avila and Jacob Brunelle and Baba Mamadou Camara</t>
  </si>
  <si>
    <t>arXiv preprint arXiv:2304.09655 (2023).</t>
  </si>
  <si>
    <t>How secure is code generated by ChatGPT?</t>
  </si>
  <si>
    <t>Colleen McClain and Brian Kennedy and Jeffrey Gottfried and Monica Anderson and Giancarlo Pasquini</t>
  </si>
  <si>
    <t>Pew Research Center</t>
  </si>
  <si>
    <t>en-US</t>
  </si>
  <si>
    <t>How the U.S. Public and AI Experts View Artificial Intelligence</t>
  </si>
  <si>
    <t>https://www.pewresearch.org/internet/2025/04/03/how-the-us-public-and-ai-experts-view-artificial-intelligence/</t>
  </si>
  <si>
    <t>National Academies of Sciences, Engineering and Medicine</t>
  </si>
  <si>
    <t>{Human-AI Teaming: State-of-the-art and Research Needs}</t>
  </si>
  <si>
    <t>https://nap.nationalacademies.org/read/26355/chapter/1</t>
  </si>
  <si>
    <t>Sudjianto, Agus and Zhang, Aijun and Neppalli, Srinivas and Joshi, Tarun and Malohlava, Michal</t>
  </si>
  <si>
    <t>arXiv preprint arXiv:2411.16391</t>
  </si>
  <si>
    <t>{Human-Calibrated Automated Testing and Validation of Generative Language Models}</t>
  </si>
  <si>
    <t>https://arxiv.org/pdf/2411.16391</t>
  </si>
  <si>
    <t>Sudjianto, Agus and Neppalli, Srinivas</t>
  </si>
  <si>
    <t>Available at SSRN</t>
  </si>
  <si>
    <t>Human-Calibrated Automated Testing and Validation of Generative Language Models: An Overview</t>
  </si>
  <si>
    <t>Gillies, Marco and Fiebrink, Rebecca and Tanaka, Atau and Garcia, J{\'e}r{\'e}mie and Bevilacqua, Fr{\'e}d{\'e}ric and Heloir, Alexis and Nunnari, Fabrizio and Mackay, Wendy and Amershi, Saleema and Lee, Bongshin and others</t>
  </si>
  <si>
    <t>Proceedings of the 2016 CHI Conference Extended Abstracts on Human Factors in Computing Systems</t>
  </si>
  <si>
    <t>URL: \url{http://research.gold.ac.uk/16112/1/HCML2016.pdf}</t>
  </si>
  <si>
    <t>3558--3565</t>
  </si>
  <si>
    <t>Human-{C}entred {M}achine {L}earning</t>
  </si>
  <si>
    <t>{IBM}</t>
  </si>
  <si>
    <t>\url{https://www.ibm.com/design/ai/}</t>
  </si>
  <si>
    <t>Last updated December 6, 2022. Accessed April 9, 2026</t>
  </si>
  <si>
    <t>IBM Design for AI</t>
  </si>
  <si>
    <t>Patrick Hall and Wen Phan and Sri Satish Ambati</t>
  </si>
  <si>
    <t>\textit{O'Reilly Ideas}</t>
  </si>
  <si>
    <t>Ideas on Interpreting machine learning</t>
  </si>
  <si>
    <t>https://www.oreilly.com/ideas/ideas-on-interpreting-machine-learning</t>
  </si>
  <si>
    <t>Thiel, D.</t>
  </si>
  <si>
    <t>\url{https://purl.stanford.edu/kh752sm9123}</t>
  </si>
  <si>
    <t>Identifying and Eliminating CSAM in Generative ML Training Data and Models</t>
  </si>
  <si>
    <t>Lutes, Brent and Gans, Joshua and Greenstein, Shane and Jaffe, Adam B. and Nagaraj, Abhishek and Reimers, Imke and Smith, Michael D. and Telang, Rahul and Tucker, Catherine E. and Waldfogel, Joel</t>
  </si>
  <si>
    <t>First published by the U.S. Copyright Office, Available at SSRN: https://ssrn.com/abstract=5143605 or http://dx.doi.org/10.2139/ssrn.5143605</t>
  </si>
  <si>
    <t>Identifying the Economic Implications of Artificial Intelligence for Copyright Policy (February 12, 2025). First published by the U.S. Copyright Office</t>
  </si>
  <si>
    <t>standard</t>
  </si>
  <si>
    <t>IEEE Std 1012-2024</t>
  </si>
  <si>
    <t>{Institute of Electrical and Electronics Engineers}</t>
  </si>
  <si>
    <t>{IEEE Standard for System, Software, and Hardware Verification and Validation}</t>
  </si>
  <si>
    <t>Alex Krizhevsky and Sutskever, Ilya and Hinton, Geoffrey E</t>
  </si>
  <si>
    <t>https://papers.nips.cc/paper/4824-imagenet-classification-with-deep-convolutional-neural-networks.pdf</t>
  </si>
  <si>
    <t>Advances in Neural Information Processing Systems 25</t>
  </si>
  <si>
    <t>F. Pereira and C. J. C. Burges and L. Bottou and K. Q. Weinberger</t>
  </si>
  <si>
    <t>1097--1105</t>
  </si>
  <si>
    <t>ImageNet Classification with Deep Convolutional Neural Networks</t>
  </si>
  <si>
    <t>Olga Russakovsky and Jia Deng and Hao Su and Jonathan Krause and Sanjeev Satheesh and Sean Ma and Zhiheng Huang and Andrej Karpathy and Aditya Khosla and Michael Bernstein and Alexander C. Berg and Li Fei-Fei</t>
  </si>
  <si>
    <t>10.1007/s11263-015-0816-y</t>
  </si>
  <si>
    <t>International Journal of Computer Vision (IJCV)</t>
  </si>
  <si>
    <t>211-252</t>
  </si>
  <si>
    <t>{ImageNet Large Scale Visual Recognition Challenge}</t>
  </si>
  <si>
    <t>Deng, Jia and Dong, Wei and Socher, Richard and Li, Li-Jia and Li, Kai and Fei-Fei, Li</t>
  </si>
  <si>
    <t>2009 IEEE conference on computer vision and pattern recognition</t>
  </si>
  <si>
    <t>248--255</t>
  </si>
  <si>
    <t>{Imagenet: A large-scale hierarchical image database}</t>
  </si>
  <si>
    <t>https://doi.org/10.1109/CVPR.2009.5206848</t>
  </si>
  <si>
    <t>Bennet, Karen and Rajbahadur, Gopi Krishnan and Suriyawongkul, Arthit and Stewart, Kate</t>
  </si>
  <si>
    <t>The Linux Foundation and SPDX</t>
  </si>
  <si>
    <t>{Implementing AI Bill of Materials (AI BOM) with SPDX 3.0: A Comprehensive Guide to Creating AI and Dataset Bill of Materials}</t>
  </si>
  <si>
    <t>https://arxiv.org/pdf/2504.16743</t>
  </si>
  <si>
    <t>G. E. Hinton and N. Srivastava and A. Krizhevsky and I. Sutskever and R. R. Salakhutdinov</t>
  </si>
  <si>
    <t>Improving neural networks by preventing co-adaptation of feature detectors</t>
  </si>
  <si>
    <t>http://arxiv.org/pdf/1207.0580.pdf</t>
  </si>
  <si>
    <t>Pineau, Joelle and Vincent-Lamarre, Philippe and Sinha, Koustuv and Larivi{\`e}re, Vincent and Beygelzimer, Alina and d'Alch{\'e}-Buc, Florence and Fox, Emily and Larochelle, Hugo</t>
  </si>
  <si>
    <t>1--20</t>
  </si>
  <si>
    <t>Improving Reproducibility in Machine Learning Research (A Report from the NeurIPS 2019 Reproducibility Program)</t>
  </si>
  <si>
    <t>https://www.jmlr.org/papers/volume22/20-303/20-303.pdf</t>
  </si>
  <si>
    <t>Loukas Balafoutas and Jeremy Celse and Alexandros Karakostas and Nicholas Umashev</t>
  </si>
  <si>
    <t>https://doi.org/10.1016/j.socec.2024.102327</t>
  </si>
  <si>
    <t>2214-8043</t>
  </si>
  <si>
    <t>Journal of Behavioral and Experimental Economics</t>
  </si>
  <si>
    <t>Incentives and the replication crisis in social sciences: A critical review of open science practices</t>
  </si>
  <si>
    <t>https://www.sciencedirect.com/science/article/pii/S2214804324001642</t>
  </si>
  <si>
    <t>Kleinberg, Jon and Mullainathan, Sendhil and Raghavan, Manish</t>
  </si>
  <si>
    <t>8th Innovations in Theoretical Computer Science Conference (ITCS 2017)</t>
  </si>
  <si>
    <t>Schloss Dagstuhl--Leibniz-Zentrum f{\"u}r Informatik</t>
  </si>
  <si>
    <t>43--1</t>
  </si>
  <si>
    <t>{Inherent Trade-Offs in the Fair Determination of Risk Scores}</t>
  </si>
  <si>
    <t>Ficklin, P.A. and Pahl, T. and Watkins, P.</t>
  </si>
  <si>
    <t>CFPB Blog</t>
  </si>
  <si>
    <t>Innovation Spotlight: Providing Adverse Action Notices When Using AI/ML Models</t>
  </si>
  <si>
    <t>https://www.consumerfinance.gov/about-us/blog/innovation-spotlight-providing-adverse-action-notices-when-using-ai-ml-models/</t>
  </si>
  <si>
    <t>Duran, Nathan and Battle, Steve and Smith, Jim</t>
  </si>
  <si>
    <t>Communication Methods and Measures</t>
  </si>
  <si>
    <t>182--214</t>
  </si>
  <si>
    <t>Inter-annotator agreement using the conversation analysis modelling schema, for dialogue</t>
  </si>
  <si>
    <t>Gwet, K.L.</t>
  </si>
  <si>
    <t>Statistical Methods for Inter-Rater Reliability Assessment</t>
  </si>
  <si>
    <t>Inter-rater reliability: dependency on trait prevalence and marginal homogeneity</t>
  </si>
  <si>
    <t>https://agreestat.com/papers/inter_rater_reliability_dependency.pdf</t>
  </si>
  <si>
    <t>Williams, Mike and others</t>
  </si>
  <si>
    <t>URL: \url{https://www.cloudera.com/products/fast-forward-labs-research.html}</t>
  </si>
  <si>
    <t>Fast Forward Labs</t>
  </si>
  <si>
    <t>Interpretability</t>
  </si>
  <si>
    <t>Christoph Molnar</t>
  </si>
  <si>
    <t>URL: \url{https://christophm.github.io/interpretable-ml-book/}</t>
  </si>
  <si>
    <t>christophm.github.io</t>
  </si>
  <si>
    <t>{I}nterpretable {M}achine {L}earning</t>
  </si>
  <si>
    <t>Murdoch, W. James and Singh, Chandan and Kumbier, Karl and Abbasi-Asl, Reza and Yu, Bin</t>
  </si>
  <si>
    <t>arXiv preprint arXiv:1901.04592</t>
  </si>
  <si>
    <t>URL: \url{https://arxiv.org/pdf/1901.04592.pdf}</t>
  </si>
  <si>
    <t>Interpretable {M}achine {L}earning: {D}efinitions, {M}ethods, and {A}pplications</t>
  </si>
  <si>
    <t>Tomsett, Richard and Braines, Dave and Harborne, Dan and Preece, Alun and Chakraborty, Supriyo</t>
  </si>
  <si>
    <t>2018 ICML Workshop on Human Interpretability in Machine Learning (WHI 2018)</t>
  </si>
  <si>
    <t>URL: \url{https://arxiv.org/pdf/1806.07552.pdf}</t>
  </si>
  <si>
    <t>Interpretable to {W}hom? {A} {R}ole-based {M}odel for {A}nalyzing {I}nterpretable {M}achine {L}earning {S}ystems</t>
  </si>
  <si>
    <t>Osbert Bastani and Carolyn Kim and Hamsa Bastani</t>
  </si>
  <si>
    <t>arXiv preprint arXiv:1705.08504</t>
  </si>
  <si>
    <t>Interpreting blackbox models via model extraction</t>
  </si>
  <si>
    <t>https://arxiv.org/pdf/1705.08504.pdf</t>
  </si>
  <si>
    <t>Itay Yona and Ilia Shumailov and Jamie Hayes and and Yossi Gandelsman</t>
  </si>
  <si>
    <t>Forty-second International Conference on Machine Learning</t>
  </si>
  <si>
    <t>Interpreting the Repeated Token Phenomenon in Large Language Models</t>
  </si>
  <si>
    <t>McHugh, Mary L.</t>
  </si>
  <si>
    <t>Biochemia medica</t>
  </si>
  <si>
    <t>276--282</t>
  </si>
  <si>
    <t>Interrater reliability: the kappa statistic</t>
  </si>
  <si>
    <t>https://pubmed.ncbi.nlm.nih.gov/23092060/</t>
  </si>
  <si>
    <t>Liljequist, David and Elfving, Britt and Skavberg Roaldsen, Kirsti</t>
  </si>
  <si>
    <t>PloS one</t>
  </si>
  <si>
    <t>e0219854</t>
  </si>
  <si>
    <t>Public Library of Science San Francisco, CA USA</t>
  </si>
  <si>
    <t>{Intraclass correlation--A discussion and demonstration of basic features}</t>
  </si>
  <si>
    <t>https://doi.org/10.1371/journal.pone.0219854</t>
  </si>
  <si>
    <t>Szegedy, Christian and Zaremba, Wojciech and Sutskever, Ilya and Bruna, Joan and Erhan, Dumitru and Goodfellow, Ian and Fergus, Rob</t>
  </si>
  <si>
    <t>arXiv preprint arXiv:1312.6199</t>
  </si>
  <si>
    <t>URL: \url{https://arxiv.org/pdf/1312.6199.pdf}</t>
  </si>
  <si>
    <t>Intriguing {P}roperties of {N}eural {N}etworks</t>
  </si>
  <si>
    <t>Chowdhury, R. and Williams, J.</t>
  </si>
  <si>
    <t>\url{https://blog.x.com/engineering/en_us/topics/insights/2021/algorithmic-bias-bounty-challenge}</t>
  </si>
  <si>
    <t>Introducing Twitter’s First Algorithmic Bias Bounty Challenge</t>
  </si>
  <si>
    <t>M{\"u}ller, Marcus and Stegmeier, J{\"o}rn</t>
  </si>
  <si>
    <t>Researching Risk and Uncertainty: Methodologies, Methods and Research Strategies</t>
  </si>
  <si>
    <t>309--335</t>
  </si>
  <si>
    <t>Investigating Risk, Uncertainty and Normativity Within the Framework of Digital Discourse Analysis: Renewable Energies in Climate Change Discourse</t>
  </si>
  <si>
    <t>Hansson, Sven Ove and Aven, Terje</t>
  </si>
  <si>
    <t>Risk analysis</t>
  </si>
  <si>
    <t>1173--1183</t>
  </si>
  <si>
    <t>Is risk analysis scientific?</t>
  </si>
  <si>
    <t>International Organization for Standardization</t>
  </si>
  <si>
    <t>{ISO 3534-1:2006 Statistics — Vocabulary and symbols Part 1: General statistical terms and terms used in probability}</t>
  </si>
  <si>
    <t>https://www.iso.org/standard/40145.html</t>
  </si>
  <si>
    <t>ISO/IEC 42001:2023 Artificial Intelligence — Management System</t>
  </si>
  <si>
    <t>https://www.iso.org/standard/81230.html</t>
  </si>
  <si>
    <t>{ISO/IEC 42005:2025 Information Technology — Artificial Intelligence (AI) — AI System Impact Assessment}</t>
  </si>
  <si>
    <t>https://www.iso.org/standard/42005</t>
  </si>
  <si>
    <t>Leon, Annette and Liu, Lei and Yang, Yan and Hudock, Michael P. and Hall, Patrick and Yin, Fenglin and Studer, Danielle and Puan, Kia-Joo and Morita, Craig T. and Oldfield, Eric</t>
  </si>
  <si>
    <t>Journal of Medicinal Chemistry</t>
  </si>
  <si>
    <t>URL: \url{https://pubs.acs.org/doi/abs/10.1021/jm060492b}</t>
  </si>
  <si>
    <t>7331--7341</t>
  </si>
  <si>
    <t>ACS Publications</t>
  </si>
  <si>
    <t>Isoprenoid {B}iosynthesis as a {D}rug {T}arget: {B}isphosphonate {I}nhibition of {E}scherichia coli {K}12 {G}rowth and {S}ynergistic {E}ffects of {F}osmidomycin</t>
  </si>
  <si>
    <t>R{\""o}ttger, Paul and Hinck, Musashi and Hofmann, Valentin and Hackenburg, Kobi and Pyatkin, Valentina and Brahman, Faeze and Hovy, Dirk</t>
  </si>
  <si>
    <t>318--340</t>
  </si>
  <si>
    <t>IssueBench: Millions of Realistic Prompts for Measuring Issue Bias in LLM Writing Assistance</t>
  </si>
  <si>
    <t>https://doi.org/10.1162/TACL.a.626</t>
  </si>
  <si>
    <t>J. Simonsen and M. Hertzum</t>
  </si>
  <si>
    <t>Design Research</t>
  </si>
  <si>
    <t>pp. 34-50.</t>
  </si>
  <si>
    <t>Iterative participatory design</t>
  </si>
  <si>
    <t>Patrick Chao and Alexander Robey and Edgar Dobriban and Hamed Hassani and George J. Pappas and Eric Wong</t>
  </si>
  <si>
    <t>cs.LG</t>
  </si>
  <si>
    <t>Jailbreaking Black Box Large Language Models in Twenty Queries</t>
  </si>
  <si>
    <t>https://arxiv.org/abs/2310.08419</t>
  </si>
  <si>
    <t>Wei, Alexander and Haghtalab, Nika and Steinhardt, Jacob</t>
  </si>
  <si>
    <t>80079--80110</t>
  </si>
  <si>
    <t>{Jailbroken: How does LLM safety training fail?}</t>
  </si>
  <si>
    <t>https://proceedings.neurips.cc/paper_files/paper/2023/file/fd6613131889a4b656206c50a8bd7790-Paper-Conference.pdf</t>
  </si>
  <si>
    <t>Lianmin Zheng and Wei-Lin Chiang and Ying Sheng and Siyuan Zhuang and Zhanghao Wu and Yonghao Zhuang and Zi Lin and Zhuohan Li and Dacheng Li and Eric P. Xing and Hao Zhang and Joseph E. Gonzalez and Ion Stoica</t>
  </si>
  <si>
    <t>Judging LLM-as-a-Judge with MT-Bench and Chatbot Arena</t>
  </si>
  <si>
    <t>https://arxiv.org/abs/2306.05685</t>
  </si>
  <si>
    <t>Anna Rogers and Tim Baldwin and Kobi Leins</t>
  </si>
  <si>
    <t>Just What do You Think You're Doing, Dave?' A Checklist for Responsible Data Use in NLP</t>
  </si>
  <si>
    <t>https://arxiv.org/abs/2109.06598</t>
  </si>
  <si>
    <t>Caruana, Rich and Joachims, Thorsten and Backstrom, Lars</t>
  </si>
  <si>
    <t>URL: \url{https://www.cs.cornell.edu/people/tj/publications/caruana_etal_04a.pdf}</t>
  </si>
  <si>
    <t>95--108</t>
  </si>
  <si>
    <t>{KDD} {C}up 2004: {R}esults and {A}nalysis</t>
  </si>
  <si>
    <t>Kanter, James Max and Gillespie, Owen and Veeramachaneni, Kalyan</t>
  </si>
  <si>
    <t>Data Science and Advanced Analytics (DSAA), 2016 IEEE International Conference on</t>
  </si>
  <si>
    <t>URL: \url{http://www.jmaxkanter.com/static/papers/DSAA_LSF_2016.pdf}</t>
  </si>
  <si>
    <t>430--439</t>
  </si>
  <si>
    <t>Label, {S}egment, {F}eaturize: {A} {C}ross {D}omain {F}ramework for {P}rediction {E}ngineering</t>
  </si>
  <si>
    <t>Huang, Gary B. and Mattar, Marwan and Berg, Tamara and Learned-Miller, Eric</t>
  </si>
  <si>
    <t>Workshop on faces in 'Real-Life' Images: detection, alignment, and recognition</t>
  </si>
  <si>
    <t>{Labeled faces in the wild: A database for studying face recognition in unconstrained environments}</t>
  </si>
  <si>
    <t>Brown, Tom and Mann, Benjamin and Ryder, Nick and Subbiah, Melanie and Kaplan, Jared D. and Dhariwal, Prafulla and Neelakantan, Arvind and Shyam, Pranav and Sastry, Girish and Askell, Amanda and others</t>
  </si>
  <si>
    <t>1877--1901</t>
  </si>
  <si>
    <t>{Language Models are Few-shot Learners}</t>
  </si>
  <si>
    <t>https://proceedings.neurips.cc/paper_files/paper/2020/file/1457c0d6bfcb4967418bfb8ac142f64a-Paper.pdf</t>
  </si>
  <si>
    <t>Radford, Alec and Wu, Jeffrey and Child, Rewon and Luan, David and Amodei, Dario and Sutskever, Ilya and others</t>
  </si>
  <si>
    <t>OpenAI blog</t>
  </si>
  <si>
    <t>URL: \url{https://cdn.openai.com/better-language-models/language_models_are_unsupervised_multitask_learners.pdf}</t>
  </si>
  <si>
    <t>{Language Models are Unsupervised Multitask Learners}</t>
  </si>
  <si>
    <t>Henry Farrell  and Alison Gopnik  and Cosma Shalizi  and James Evans</t>
  </si>
  <si>
    <t>10.1126/science.adt9819</t>
  </si>
  <si>
    <t>https://www.science.org/doi/pdf/10.1126/science.adt9819</t>
  </si>
  <si>
    <t>Large AI models are cultural and social technologies</t>
  </si>
  <si>
    <t>https://www.science.org/doi/abs/10.1126/science.adt9819</t>
  </si>
  <si>
    <t>Balloccu, Simone and Schmidtov{\'a}, Patr{\'\i}cia and Lango, Mateusz and Du{\v{s}}ek, Ond{\v{r}}ej</t>
  </si>
  <si>
    <t>arXiv preprint arXiv:2402.03927</t>
  </si>
  <si>
    <t>Leak, cheat, repeat: Data contamination and evaluation malpractices in closed-source llms</t>
  </si>
  <si>
    <t>Sayash Kapoor and Arvind Narayanan</t>
  </si>
  <si>
    <t>Leakage and the Reproducibility Crisis in ML-based Science</t>
  </si>
  <si>
    <t>https://arxiv.org/abs/2207.07048</t>
  </si>
  <si>
    <t>Angelino, Elaine and Larus-Stone, Nicholas and Alabi, Daniel and Seltzer, Margo and Rudin, Cynthia</t>
  </si>
  <si>
    <t>The Journal of Machine Learning Research</t>
  </si>
  <si>
    <t>URL: \url{http://www.jmlr.org/papers/volume18/17-716/17-716.pdf}</t>
  </si>
  <si>
    <t>8753--8830</t>
  </si>
  <si>
    <t>JMLR.org</t>
  </si>
  <si>
    <t>Learning {C}ertifiably {O}ptimal {R}ule {L}ists for {C}ategorical {D}ata</t>
  </si>
  <si>
    <t>Yoshua Bengio</t>
  </si>
  <si>
    <t>http://www.iro.umontreal.ca/~bengioy/papers/ftml.pdf</t>
  </si>
  <si>
    <t>Learning Deep Architectures for AI</t>
  </si>
  <si>
    <t>Zemel, Rich and Wu, Yu and Swersky, Kevin and Pitassi, Toni and Dwork, Cynthia</t>
  </si>
  <si>
    <t>International Conference on Machine Learning</t>
  </si>
  <si>
    <t>URL: \url{http://proceedings.mlr.press/v28/zemel13.pdf}</t>
  </si>
  <si>
    <t>325--333</t>
  </si>
  <si>
    <t>Learning {F}air {R}epresentations</t>
  </si>
  <si>
    <t>Yaser S. Abu-Mostafa and Malik Magdon-Ismail and Hsuan-Tien Lin</t>
  </si>
  <si>
    <t>\textit{Learning from Data}</t>
  </si>
  <si>
    <t>AMLBook</t>
  </si>
  <si>
    <t>Learning from Data</t>
  </si>
  <si>
    <t>https://work.caltech.edu/textbook.html</t>
  </si>
  <si>
    <t>Lee, Daniel D. and Seung, H. Sebastian</t>
  </si>
  <si>
    <t>788--791</t>
  </si>
  <si>
    <t>{Learning the Parts of Objects by Non-negative Matrix Factorization}</t>
  </si>
  <si>
    <t>https://www.nature.com/articles/44565</t>
  </si>
  <si>
    <t>Blaire, B. and others</t>
  </si>
  <si>
    <t>\url{https://www.dlapiper.com/-/media/project/dlapiper-tenant/dlapiper/pdf/dla-piper---white-paper---ai-legal-red-teaming.pdf}</t>
  </si>
  <si>
    <t>Legal Red Teaming: A Systematic Approach to Assessing Legal Risk of Generative AI Models</t>
  </si>
  <si>
    <t>Snyder, Ryan and Hall, Patrick</t>
  </si>
  <si>
    <t>URL: \url{http://support.sas.com/resources/papers/proceedings12/275-2012.pdf}</t>
  </si>
  <si>
    <t>Let the {D}ata {P}aint the {P}icture: {D}ata-{D}riven, {I}nteractive and {A}nimated {V}isualizations {U}sing {S}{A}{S}, {J}ava and the {P}rocessing {G}raphics {L}ibrary</t>
  </si>
  <si>
    <t>Christoph Molnar et al.</t>
  </si>
  <si>
    <t>URL: \url{https://compstat-lmu.github.io/iml_methods_limitations/}</t>
  </si>
  <si>
    <t>LMU Munich</t>
  </si>
  <si>
    <t>Limitations of {I}nterpretable {M}achine {L}earning {M}ethods</t>
  </si>
  <si>
    <t>White, Colin and Dooley, Samuel and Roberts, Manley and Pal, Arka and Feuer, Benjamin and Jain, Siddhartha and Shwartz-Ziv, Ravid and Jain, Neel and Saifullah, Khalid and Dey, Sreemanti and others</t>
  </si>
  <si>
    <t>The Thirteenth International Conference on Learning Representations</t>
  </si>
  <si>
    <t>{LiveBench: A Challenging, Contamination-Limited LLM Benchmark}</t>
  </si>
  <si>
    <t>Inan, Hakan and Upasani, Kartikeya and Chi, Jianfeng and Rungta, Rashi and Iyer, Krithika and Mao, Yuning and Tontchev, Michael and Hu, Qing and Fuller, Brian and Testuggine, Davide and others</t>
  </si>
  <si>
    <t>arXiv preprint arXiv:2312.06674</t>
  </si>
  <si>
    <t>Llama guard: {LLM}-based input-output safeguard for human-ai conversations</t>
  </si>
  <si>
    <t>https://arxiv.org/pdf/2312.06674</t>
  </si>
  <si>
    <t>Li, Nathaniel and Han, Ziwen and Steneker, Ian and Primack, Willow and Goodside, Riley and Zhang, Hugh and Wang, Zifan and Menghini, Cristina and Yue, Summer</t>
  </si>
  <si>
    <t>arXiv preprint arXiv:2408.15221</t>
  </si>
  <si>
    <t>URL: \url{https://arxiv.org/pdf/2408.15221}</t>
  </si>
  <si>
    <t>{LLM Defenses Are Not Robust to Multi-turn Human Jailbreaks Yet}</t>
  </si>
  <si>
    <t>Chawin Sitawarin and Charlie Cheng-Jie Ji and Apurv Verma and Luckyfan-cs</t>
  </si>
  <si>
    <t>GitHub repository</t>
  </si>
  <si>
    <t>{LLM Security and Privacy}</t>
  </si>
  <si>
    <t>https://github.com/chawins/llm-sp</t>
  </si>
  <si>
    <t>Haoyang Li and Huan Gao and Zhiyuan Zhao and Zhiyu Lin and Junyu Gao and Xuelong Li</t>
  </si>
  <si>
    <t>Proceedings of the 63rd Annual Meeting of the Association for Computational Linguistics</t>
  </si>
  <si>
    <t>(Volume 1: Long Papers), pp. 27833-27848.</t>
  </si>
  <si>
    <t>LLMs caught in the crossfire: Malware requests and jailbreak challenges</t>
  </si>
  <si>
    <t>Linwei Hu and Jie Chen and Vijayan N. Nair and Agus Sudjianto</t>
  </si>
  <si>
    <t>arXiv preprint arXiv:1806.00663</t>
  </si>
  <si>
    <t>Locally Interpretable Models and Effects based on Supervised Partitioning (LIME-SUP)</t>
  </si>
  <si>
    <t>https://arxiv.org/ftp/arxiv/papers/1806/1806.00663.pdf</t>
  </si>
  <si>
    <t>Hu, Edward J. and Shen, Yelong and Wallis, Phillip and Allen-Zhu, Zeyuan and Li, Yuanzhi and Wang, Shean and Wang, Lu and Chen, Weizhu and others</t>
  </si>
  <si>
    <t>ICLR</t>
  </si>
  <si>
    <t>{Lora: Low-rank Adaptation of Large Language Models}</t>
  </si>
  <si>
    <t>https://arxiv.org/pdf/2106.09685v1/1000</t>
  </si>
  <si>
    <t>Mitchell, Tom</t>
  </si>
  <si>
    <t>McGraw Hill</t>
  </si>
  <si>
    <t>Machine Learning</t>
  </si>
  <si>
    <t>http://www.cs.cmu.edu/~tom/mlbook.html</t>
  </si>
  <si>
    <t>Thomas Dietterich and Eun Bae Kong</t>
  </si>
  <si>
    <t>http://www.iiia.csic.es/~vtorra/tr-bias.pdf</t>
  </si>
  <si>
    <t>Machine Learning Bias, Statistical Bias, and Statistical Variance of Decision Tree Algorithms</t>
  </si>
  <si>
    <t>Bracke, Philippe and Datta, Anupam and Jung, Carsten and Sen, Shayak</t>
  </si>
  <si>
    <t>URL: \url{https://www.bankofengland.co.uk/-/media/boe/files/working-paper/2019/machine-learning-explainability-in-finance-an-application-to-default-risk-analysis.pdf}</t>
  </si>
  <si>
    <t>Bank of England Working Paper</t>
  </si>
  <si>
    <t>Machine {L}earning {E}xplainability in {F}inance: {A}n {A}pplication to {D}efault {R}isk {A}nalysis</t>
  </si>
  <si>
    <t>Hall, Patrick and Curtis, James and Pandey, Parul</t>
  </si>
  <si>
    <t>{Machine Learning for High-risk Applications: Approaches to Responsible AI}</t>
  </si>
  <si>
    <t>https://www.oreilly.com/library/view/machine-learning-for/9781098102425/</t>
  </si>
  <si>
    <t>Hall, Patrick and Gill, Navdeep and Kurka, Megan and Phan, Wen</t>
  </si>
  <si>
    <t>URL: \url{http://docs.h2o.ai/driverless-ai/latest-stable/docs/booklets/MLIBooklet.pdf}</t>
  </si>
  <si>
    <t>H2O.ai, Mountain View, CA</t>
  </si>
  <si>
    <t>Machine {L}earning {I}nterpretability with {H}{2}{O} {D}riverless {A}{I}</t>
  </si>
  <si>
    <t>Hall, Patrick et al.</t>
  </si>
  <si>
    <t>URL: \url{https://bit.ly/33cIJf5}</t>
  </si>
  <si>
    <t>Discover Financial Services</t>
  </si>
  <si>
    <t>{M}achine {L}earning: {C}onsiderations for fairly and transparently expanding access to credit</t>
  </si>
  <si>
    <t>Pengfei Li and Jianyi Yang and Mohammad A. Islam and Shaolei Ren</t>
  </si>
  <si>
    <t>Making AI Less "Thirsty": Uncovering and Addressing the Secret Water Footprint of AI Models</t>
  </si>
  <si>
    <t>https://arxiv.org/abs/2304.03271</t>
  </si>
  <si>
    <t>IMF economists say that GenAI is a job killer, but also, a job enhancer. Supply chain leaders must design smarter jobs and train their people to use AI better.</t>
  </si>
  <si>
    <t>O'Marah, Kevin</t>
  </si>
  <si>
    <t>Forbes</t>
  </si>
  <si>
    <t>Making {Peace} {With} {GenAI} {As} {Job} {Killer}</t>
  </si>
  <si>
    <t>https://www.forbes.com/sites/kevinomarah/2024/06/27/making-peace-with-gen-ai-as-job-killer/</t>
  </si>
  <si>
    <t>Laudon, Kenneth C. and Laudon, Jane Price</t>
  </si>
  <si>
    <t>Pearson Education</t>
  </si>
  <si>
    <t>{Management Information Systems: Managing the Digital Firm}</t>
  </si>
  <si>
    <t>Poursabzi-Sangdeh, Forough and Goldstein, Daniel G. and Hofman, Jake M. and Vaughan, Jennifer Wortman and Wallach, Hanna</t>
  </si>
  <si>
    <t>arXiv preprint arXiv:1802.07810</t>
  </si>
  <si>
    <t>URL: \url{https://arxiv.org/pdf/1802.07810.pdf}</t>
  </si>
  <si>
    <t>Manipulating and {M}easuring {M}odel {I}nterpretability</t>
  </si>
  <si>
    <t>Stephen C. Slota and Kenneth R. Fleischmann and Sherri Greenberg and Nitin Verma and Brenna Cummings and Lan Li and Chris Shenefiel</t>
  </si>
  <si>
    <t>10.1007/s00146-021-01302-0</t>
  </si>
  <si>
    <t>AI and Society</t>
  </si>
  <si>
    <t>1287--1299</t>
  </si>
  <si>
    <t>Many Hands Make Many Fingers to Point: Challenges in Creating Accountable Ai</t>
  </si>
  <si>
    <t>Julien Piet and Chawin Sitawarin and Vivian Fang and Norman Mu and David Wagner</t>
  </si>
  <si>
    <t>Mark My Words: Analyzing and Evaluating Language Model Watermarks</t>
  </si>
  <si>
    <t>https://arxiv.org/abs/2312.00273</t>
  </si>
  <si>
    <t>Ian J. Goodfellow and David Warde-farley and Mehdi Mirza and Aaron Courville and Yoshua Bengio</t>
  </si>
  <si>
    <t>http://arxiv.org/pdf/1302.4389.pdf</t>
  </si>
  <si>
    <t>\textit{In ICML}</t>
  </si>
  <si>
    <t>Maxout networks</t>
  </si>
  <si>
    <t>Jacobs, Abigail Z and Wallach, Hanna</t>
  </si>
  <si>
    <t>Proceedings of the 2021 ACM conference on fairness, accountability, and transparency</t>
  </si>
  <si>
    <t>375--385</t>
  </si>
  <si>
    <t>Measurement and fairness</t>
  </si>
  <si>
    <t>Adcock, Robert and Collier, David</t>
  </si>
  <si>
    <t>10.1017/S0003055401003100</t>
  </si>
  <si>
    <t>American Political Science Review</t>
  </si>
  <si>
    <t>529--546</t>
  </si>
  <si>
    <t>Cambridge University Press</t>
  </si>
  <si>
    <t>Measurement validity: A shared standard for qualitative and quantitative research</t>
  </si>
  <si>
    <t>https://www.cambridge.org/core/journals/american-political-science-review/article/measurement-validity-a-shared-standard-for-qualitative-and-quantitative-research/91C7A9800DB26A76EBBABC5889A50C8B</t>
  </si>
  <si>
    <t>Hendrycks, Dan and Burns, Collin and Basart, Steven and Zou, Andy and Mazeika, Mantas and Song, Dawn and Steinhardt, Jacob</t>
  </si>
  <si>
    <t>International Conference on Learning Representations</t>
  </si>
  <si>
    <t>{Measuring Massive Multitask Language Understanding}</t>
  </si>
  <si>
    <t>Fleiss, Joseph L.</t>
  </si>
  <si>
    <t>Measuring nominal scale agreement among many raters.</t>
  </si>
  <si>
    <t>https://doi.org/10.1037/h0031619</t>
  </si>
  <si>
    <t>Shokri, Reza and Stronati, Marco and Song, Congzheng and Shmatikov, Vitaly</t>
  </si>
  <si>
    <t>2017 IEEE Symposium on Security and Privacy (SP)</t>
  </si>
  <si>
    <t>URL: \url{https://arxiv.org/pdf/1610.05820.pdf}</t>
  </si>
  <si>
    <t>3--18</t>
  </si>
  <si>
    <t>Membership {I}nference {A}ttacks {A}gainst {M}achine {L}earning {M}odels</t>
  </si>
  <si>
    <t>{Microsoft}</t>
  </si>
  <si>
    <t>\url{https://www.microsoft.com/en-us/msrc/bounty-ai}</t>
  </si>
  <si>
    <t>Microsoft AI Bounty Program</t>
  </si>
  <si>
    <t>Lin, Tsung-Yi and Maire, Michael and Belongie, Serge and Hays, James and Perona, Pietro and Ramanan, Deva and Doll{\'a}r, Piotr and Zitnick, C. Lawrence</t>
  </si>
  <si>
    <t>European Conference on Computer Vision</t>
  </si>
  <si>
    <t>740--755</t>
  </si>
  <si>
    <t>{Microsoft COCO: Common objects in context}</t>
  </si>
  <si>
    <t>Microsoft</t>
  </si>
  <si>
    <t>{Microsoft Responsible AI Impact Assessment Guide}</t>
  </si>
  <si>
    <t>https://msblogs.thesourcemediaassets.com/sites/5/2022/06/Microsoft-RAI-Impact-Assessment-Guide.pdf</t>
  </si>
  <si>
    <t>{Microsoft Responsible AI Impact Assessment Template}</t>
  </si>
  <si>
    <t>https://msblogs.thesourcemediaassets.com/sites/5/2022/06/Microsoft-RAI-Impact-Assessment-Template.pdf</t>
  </si>
  <si>
    <t>Zhang, Brian Hu and Lemoine, Blake and Mitchell, Margaret</t>
  </si>
  <si>
    <t>Proceedings of the 2018 AAAI/ACM Conference on AI, Ethics, and Society</t>
  </si>
  <si>
    <t>URL: \url{https://arxiv.org/pdf/1801.07593.pdf}</t>
  </si>
  <si>
    <t>335--340</t>
  </si>
  <si>
    <t>Mitigating {U}nwanted {B}iases with {A}dversarial {L}earning</t>
  </si>
  <si>
    <t>Mitchell, Margaret and Wu, Simone and Zaldivar, Andrew and Barnes, Parker and Vasserman, Lucy and Hutchinson, Ben and Spitzer, Elena and Raji, Inioluwa Deborah and Gebru, Timnit</t>
  </si>
  <si>
    <t>220--229</t>
  </si>
  <si>
    <t>{Model Cards for Model Reporting}</t>
  </si>
  <si>
    <t>https://dl.acm.org/doi/pdf/10.1145/3287560.3287596</t>
  </si>
  <si>
    <t>Vartak, Manasi and Subramanyam, Harihar and Lee, Wei-En and Viswanathan, Srinidhi and Husnoo, Saadiyah and Madden, Samuel and Zaharia, Matei</t>
  </si>
  <si>
    <t>Proceedings of the Workshop on Human-In-the-Loop Data Analytics</t>
  </si>
  <si>
    <t>URL: \url{https://www-cs.stanford.edu/~matei/papers/2016/hilda_modeldb.pdf}</t>
  </si>
  <si>
    <t>Model {D}{B}: {A} {S}ystem for {M}achine {L}earning {M}odel {M}anagement</t>
  </si>
  <si>
    <t>AB 2013-07</t>
  </si>
  <si>
    <t>Model Risk Management Guidance</t>
  </si>
  <si>
    <t>Advisory Bulletin</t>
  </si>
  <si>
    <t>https://www.fhfa.gov/advisory-bulletin/ab-2013-07</t>
  </si>
  <si>
    <t>Amershi, Saleema and Chickering, Max and Drucker, Steven M and Lee, Bongshin and Simard, Patrice and Suh, Jina</t>
  </si>
  <si>
    <t>Proceedings of the 33rd Annual ACM Conference on Human Factors in Computing Systems</t>
  </si>
  <si>
    <t>URL: \url{https://www.microsoft.com/en-us/research/wp-content/uploads/2016/02/amershi.CHI2015.ModelTracker.pdf}</t>
  </si>
  <si>
    <t>337--346</t>
  </si>
  <si>
    <t>Modeltracker: {R}edesigning {P}erformance {A}nalysis {T}ools for {M}achine {L}earning</t>
  </si>
  <si>
    <t>Gupta, Maya and Cotter, Andrew and Pfeifer, Jan and Voevodski, Konstantin and Canini, Kevin and Mangylov, Alexander and Moczydlowski, Wojciech and Van Esbroeck, Alexander</t>
  </si>
  <si>
    <t>URL: \url{http://www.jmlr.org/papers/volume17/15-243/15-243.pdf}</t>
  </si>
  <si>
    <t>3790--3836</t>
  </si>
  <si>
    <t>JMLR. org</t>
  </si>
  <si>
    <t>Monotonic {C}alibrated {I}nterpolated {L}ookup {T}ables</t>
  </si>
  <si>
    <t>Greshake, Kai and Abdelnabi, Sahar and Mishra, Shailesh and Endres, Christoph and Holz, Thorsten and Fritz, Mario</t>
  </si>
  <si>
    <t>10.48550/ARXIV.2302.12173</t>
  </si>
  <si>
    <t>Cryptography and Security (cs.CR), Artificial Intelligence (cs.AI), Computation and Language (cs.CL), Computers and Society (cs.CY), FOS: Computer and information sciences, FOS: Computer and information sciences</t>
  </si>
  <si>
    <t>More than you've asked for: A Comprehensive Analysis of Novel Prompt Injection Threats to Application-Integrated Large Language Models</t>
  </si>
  <si>
    <t>https://arxiv.org/abs/2302.12173v1</t>
  </si>
  <si>
    <t>\url{https://www.consumerfinance.gov/data-research/hmda/}</t>
  </si>
  <si>
    <t>Accessed: 2020-02-24</t>
  </si>
  <si>
    <t>Mortgage data ({H}{M}{D}{A})</t>
  </si>
  <si>
    <t>H. Xiong</t>
  </si>
  <si>
    <t>10.1049/cje.2015.04.031</t>
  </si>
  <si>
    <t>1022-4653</t>
  </si>
  <si>
    <t>Chinese Journal of Electronics</t>
  </si>
  <si>
    <t>communication complexity;probability;quantum communication;quantum computing;NS-box;RAC;Tsirelson bounds;communication complexity;independent identically distribution;information causality;multilevel Bell-type inequality;no-signaling box;noisy computations;nonlocal quantum computation;random access code;symmetric quantum channels;uniform input marginal probabilities</t>
  </si>
  <si>
    <t>408-413</t>
  </si>
  <si>
    <t>Multi-level Bell-Type Inequality from Information Causality and Noisy Computations</t>
  </si>
  <si>
    <t>Friedman, Jerome H. and others</t>
  </si>
  <si>
    <t>URL: \url{https://projecteuclid.org/download/pdf_1/euclid.aos/1176347963}</t>
  </si>
  <si>
    <t>Institute of Mathematical Statistics</t>
  </si>
  <si>
    <t>Multivariate {A}daptive {R}egression {S}plines</t>
  </si>
  <si>
    <t>Hirshorn, Steven R. and Voss, Linda D. and Bromley, Linda K.</t>
  </si>
  <si>
    <t>{NASA Systems Engineering Handbook}</t>
  </si>
  <si>
    <t>Singapore</t>
  </si>
  <si>
    <t>Rebedea, Traian  and
Dinu, Razvan  and
Sreedhar, Makesh Narsimhan  and
Parisien, Christopher  and
Cohen, Jonathan</t>
  </si>
  <si>
    <t>Proceedings of the 2023 Conference on Empirical Methods in Natural Language Processing: System Demonstrations</t>
  </si>
  <si>
    <t>10.18653/v1/2023.emnlp-demo.40</t>
  </si>
  <si>
    <t>Feng, Yansong  and
Lefever, Els</t>
  </si>
  <si>
    <t>431--445</t>
  </si>
  <si>
    <t>{N}e{M}o Guardrails: A Toolkit for Controllable and Safe {LLM} Applications with Programmable Rails</t>
  </si>
  <si>
    <t>https://aclanthology.org/2023.emnlp-demo.40</t>
  </si>
  <si>
    <t>Agarwal, Rishabh and Melnick, Levi and Frosst, Nicholas and Zhang, Xuezhou and Lengerich, Ben and Caruana, Rich and Hinton, Geoffrey E.</t>
  </si>
  <si>
    <t>URL: \url{https://proceedings.neurips.cc/paper/2021/file/251bd0442dfcc53b5a761e050f8022b8-Paper.pdf}</t>
  </si>
  <si>
    <t>4699--4711</t>
  </si>
  <si>
    <t>Neural {A}dditive {M}odels: {I}nterpretable {M}achine {L}earning with {N}eural {N}ets</t>
  </si>
  <si>
    <t>OpenAI</t>
  </si>
  <si>
    <t>{New and Improved Embedding Model}</t>
  </si>
  <si>
    <t>https://openai.com/blog/new-and-improved-embedding-model</t>
  </si>
  <si>
    <t>Daniel Atherton and Reva Schwartz and Peter C. Fontana and Patrick Hall</t>
  </si>
  <si>
    <t>{NIST AI} 100-3: {T}he {L}anguage of {T}rustworthy {AI}: {A}n {I}n-{D}epth {G}lossary of {T}erms</t>
  </si>
  <si>
    <t>https://nvlpubs.nist.gov/nistpubs/ai/NIST.AI.100-3.pdf</t>
  </si>
  <si>
    <t>Kai Greshake and Sahar Abdelnabi and Shailesh Mishra and Christoph Endres and Thorsten Holz and Mario Fritz</t>
  </si>
  <si>
    <t>16th ACM Workshop on Artificial Intelligence and Security</t>
  </si>
  <si>
    <t>79--90</t>
  </si>
  <si>
    <t>Not what you've signed up for: Compromising real-world LLM-integrated applications with indirect prompt injection</t>
  </si>
  <si>
    <t>https://arxiv.org/abs/2302.12173</t>
  </si>
  <si>
    <t>Official Interpretations of Regulation B (ECOA)</t>
  </si>
  <si>
    <t>https://www.consumerfinance.gov/rules-policy/regulations/1002/interp-0/</t>
  </si>
  <si>
    <t>Kantorovich, Leonid Vitalevich</t>
  </si>
  <si>
    <t>Dokl. Akad. Nauk SSSR</t>
  </si>
  <si>
    <t>738--741</t>
  </si>
  <si>
    <t>On a mathematical symbolism convenient for performing machine calculations</t>
  </si>
  <si>
    <t>Prabhakaran, Vinodkumar and Davani, Aida Mostafazadeh and Diaz, Mark</t>
  </si>
  <si>
    <t>arXiv preprint arXiv:2110.05699</t>
  </si>
  <si>
    <t>On releasing annotator-level labels and information in datasets</t>
  </si>
  <si>
    <t>KDD '19 XAI Workshop</t>
  </si>
  <si>
    <t>URL: \url{https://arxiv.org/pdf/1810.02909.pdf}</t>
  </si>
  <si>
    <t>On the {A}rt and {S}cience of {M}achine {L}earning {E}xplanations</t>
  </si>
  <si>
    <t>Bender, Emily M and Gebru, Timnit and McMillan-Major, Angelina and Shmitchell, Shmargaret</t>
  </si>
  <si>
    <t>610--623</t>
  </si>
  <si>
    <t>On the dangers of stochastic parrots: Can language models be too big?</t>
  </si>
  <si>
    <t>Ilya Sutskever and James Martens and George Dahl and Geoffrey Hinton</t>
  </si>
  <si>
    <t>http://www.cs.toronto.edu/~fritz/absps/momentum.pdf</t>
  </si>
  <si>
    <t>On the importance of initialization and momentum in deep learning</t>
  </si>
  <si>
    <t>El-Mahdi El-Mhamdi and Sadegh Farhadkhani and Rachid Guerraoui and Nirupam Gupta and Lê-Nguyên Hoang and Rafael Pinot and Sébastien Rouault and John Stephan</t>
  </si>
  <si>
    <t>On the Impossible Safety of Large AI Models</t>
  </si>
  <si>
    <t>https://arxiv.org/abs/2209.15259</t>
  </si>
  <si>
    <t>Stephen Casper and Xander Davies and Claudia Shi and Thomas Krendl Gilbert and Jérémy Scheurer and Javier Rando and Rachel Freedman and Tomasz Korbak and David Lindner and Pedro Freire and Tony Wang and Samuel Marks and Charbel-Raphaël Segerie and Micah Carroll and Andi Peng and Phillip Christoffersen and Mehul Damani and Stewart Slocum and Usman Anwar and Anand Siththaranjan and Max Nadeau and Eric J. Michaud and Jacob Pfau and Dmitrii Krasheninnikov and Xin Chen and Lauro Langosco and Peter Hase and Erdem Bıyık and Anca Dragan and David Krueger and Dorsa Sadigh and Dylan Hadfield-Menell</t>
  </si>
  <si>
    <t>Open Problems and Fundamental Limitations of Reinforcement Learning from Human Feedback</t>
  </si>
  <si>
    <t>https://arxiv.org/abs/2307.15217</t>
  </si>
  <si>
    <t>Dino Pedreschi and
Fosca Giannotti and
Riccardo Guidotti and
Anna Monreale and
Luca Pappalardo and
Salvatore Ruggieri and
Franco Turini</t>
  </si>
  <si>
    <t>arXiv preprint.</t>
  </si>
  <si>
    <t>Open the Black Box Data-Driven Explanation of Black Box Decision Systems</t>
  </si>
  <si>
    <t>http://arxiv.org/abs/1806.09936v1</t>
  </si>
  <si>
    <t>Kapoor, S. and Narayanan, A.</t>
  </si>
  <si>
    <t>\url{https://www.aisnakeoil.com/p/openais-policies-hinder-reproducible}</t>
  </si>
  <si>
    <t>OpenAI’s Policies Hinder Reproducible Research on Language Models</t>
  </si>
  <si>
    <t>Hu, Xiyang and Rudin, Cynthia and Seltzer, Margo</t>
  </si>
  <si>
    <t>arXiv preprint arXiv:1904.12847</t>
  </si>
  <si>
    <t>URL: \url{https://arxiv.org/pdf/1904.12847.pdf}</t>
  </si>
  <si>
    <t>Optimal {S}parse {D}ecision {T}rees</t>
  </si>
  <si>
    <t>Calmon, Flavio and Wei, Dennis and Vinzamuri, Bhanukiran and Ramamurthy, Karthikeyan Natesan and Varshney, Kush R.</t>
  </si>
  <si>
    <t>URL: \url{http://papers.nips.cc/paper/6988-optimized-pre-processing-for-discrimination-prevention.pdf}</t>
  </si>
  <si>
    <t>3992--4001</t>
  </si>
  <si>
    <t>Optimized {P}re-processing for {D}iscrimination {P}revention</t>
  </si>
  <si>
    <t>Margarita Boyarskaya and Alexandra Olteanu and Kate Crawford</t>
  </si>
  <si>
    <t>Overcoming Failures of Imagination in AI Infused System Development and Deployment</t>
  </si>
  <si>
    <t>https://arxiv.org/abs/2011.13416</t>
  </si>
  <si>
    <t>OWASP</t>
  </si>
  <si>
    <t>Open Worldwide Application Security Project</t>
  </si>
  <si>
    <t>OWASP Top 10 for Large Language Model Applications</t>
  </si>
  <si>
    <t>https://owasp.org/www-project-top-10-for-large-language-model-applications/</t>
  </si>
  <si>
    <t>Tong Chen and Faeze Brahman and Jiacheng Liu and Niloofar Mireshghallah and Weijia Shi and Pang Wei Koh and Luke Zettlemoyer and Hannaneh Hajishirzi</t>
  </si>
  <si>
    <t>ParaPO: Aligning Language Models to Reduce Verbatim Reproduction of Pre-training Data</t>
  </si>
  <si>
    <t>https://arxiv.org/abs/2504.14452</t>
  </si>
  <si>
    <t>Sloane, Mona and Moss, Emanuel and Awomolo, Olaitan and Forlano, Laura</t>
  </si>
  <si>
    <t>10.1145/3551624.3555285</t>
  </si>
  <si>
    <t>Arlington, VA, USA</t>
  </si>
  <si>
    <t>EAAMO '22</t>
  </si>
  <si>
    <t>Participation Is not a Design Fix for Machine Learning</t>
  </si>
  <si>
    <t>https://doi.org/10.1145/3551624.3555285</t>
  </si>
  <si>
    <t>Aleks Berditchevskaia and
Eirini Malliaraki and
Kathy Peach</t>
  </si>
  <si>
    <t>Nesta</t>
  </si>
  <si>
    <t>Participatory AI for humanitarian innovation: A briefing paper</t>
  </si>
  <si>
    <t>https://media.nesta.org.uk/documents/Nesta_Participatory_AI_for_humanitarian_innovation_Final.pdf</t>
  </si>
  <si>
    <t>Bishop, Christopher M. and Nasrabadi, Nasser M.</t>
  </si>
  <si>
    <t>{Pattern Recognition and Machine Learning}</t>
  </si>
  <si>
    <t>https://link.springer.com/in/book/9780387310732</t>
  </si>
  <si>
    <t>Alex Goldstein and Adam Kapelner and Justin Bleich and Emil Pitkin</t>
  </si>
  <si>
    <t>URL: \url{https://arxiv.org/pdf/1309.6392.pdf}</t>
  </si>
  <si>
    <t>Peeking {I}nside the {B}lack {B}ox: {V}isualizing {S}tatistical {L}earning with {P}lots of {I}ndividual {C}onditional {E}xpectation</t>
  </si>
  <si>
    <t>Sourab Mangrulkar and Sylvain Gugger and Lysandre Debut and Younes Belkada and Sayak Paul and Benjamin Bossan</t>
  </si>
  <si>
    <t>\url{https://github.com/huggingface/peft}</t>
  </si>
  <si>
    <t>{PEFT}: State-of-the-art Parameter-Efficient Fine-Tuning methods</t>
  </si>
  <si>
    <t>{Google PAIR}</t>
  </si>
  <si>
    <t>\url{https://pair.withgoogle.com/guidebook/}</t>
  </si>
  <si>
    <t>Third edition updated April 2025. Accessed April 9, 2026</t>
  </si>
  <si>
    <t>{People + AI Guidebook}</t>
  </si>
  <si>
    <t>Giancoli, D.C.</t>
  </si>
  <si>
    <t>123-124</t>
  </si>
  <si>
    <t>Physics for Scientists and Engineers with Modern Physics</t>
  </si>
  <si>
    <t>Bommasani, R. and others</t>
  </si>
  <si>
    <t>Advances in Neural Information Processing Systems, 35</t>
  </si>
  <si>
    <t>3663--3678</t>
  </si>
  <si>
    <t>Picking on the same person: Does algorithmic monoculture lead to outcome homogenization?</t>
  </si>
  <si>
    <t>https://arxiv.org/abs/2211.13972</t>
  </si>
  <si>
    <t>Albuquerque, New Mexico</t>
  </si>
  <si>
    <t>Lee, Jooyoung and Agrawal, Toshini and Uchendu, Adaku and Le, Thai and Chen, Jinghui and Lee, Dongwon</t>
  </si>
  <si>
    <t>Chiruzzo, Luis and Ritter, Alan and Wang, Lu</t>
  </si>
  <si>
    <t>{P}lag{B}ench: Exploring the Duality of Large Language Models in Plagiarism Generation and Detection</t>
  </si>
  <si>
    <t>https://aclanthology.org/2025.naacl-long.384/</t>
  </si>
  <si>
    <t>Wright, Webb</t>
  </si>
  <si>
    <t>Scientific American</t>
  </si>
  <si>
    <t>Please Be Polite to ChatGPT</t>
  </si>
  <si>
    <t>https://www.scientificamerican.com/article/should-you-be-nice-to-ai-chatbots-such-as-chatgpt</t>
  </si>
  <si>
    <t>Rudin, Cynthia</t>
  </si>
  <si>
    <t>arXiv preprint arXiv:1811.10154</t>
  </si>
  <si>
    <t>URL: \url{https://arxiv.org/pdf/1811.10154.pdf}</t>
  </si>
  <si>
    <t>{P}lease {S}top {E}xplaining {B}lack {B}ox {M}odels for {H}igh {S}takes {D}ecisions</t>
  </si>
  <si>
    <t>Olson, Randal S. and La Cava, William and Orzechowski, Patryk and Urbanowicz, Ryan J. and Moore, Jason H.</t>
  </si>
  <si>
    <t>BioData mining</t>
  </si>
  <si>
    <t>{PMLB: A large benchmark suite for machine learning evaluation and comparison}</t>
  </si>
  <si>
    <t>Alexander Wan and Eric Wallace and Sheng Shen and Dan Klein</t>
  </si>
  <si>
    <t>pp. 35413-35425</t>
  </si>
  <si>
    <t>Poisoning language models during instruction tuning</t>
  </si>
  <si>
    <t>Hanna Wallach and Meera Desai and A. Feder Cooper and Angelina Wang and Chad Atalla and Solon Barocas and Su Lin Blodgett and Alexandra Chouldechova and Emily Corvi and P. Alex Dow and Jean Garcia-Gathright and Alexandra Olteanu and Nicholas Pangakis and Stefanie Reed and Emily Sheng and Dan Vann and Jennifer Wortman Vaughan and Matthew Vogel and Hannah Washington and Abigail Z. Jacobs</t>
  </si>
  <si>
    <t>Position: Evaluating Generative AI Systems is a Social Science Measurement Challenge</t>
  </si>
  <si>
    <t>https://arxiv.org/abs/2502.00561</t>
  </si>
  <si>
    <t>Luccioni, S. and Jernite, Y. and Strubell, E.</t>
  </si>
  <si>
    <t>85--99</t>
  </si>
  <si>
    <t>Power hungry processing: Watts driving the cost of AI deployment?</t>
  </si>
  <si>
    <t>https://arxiv.org/pdf/2311.16863</t>
  </si>
  <si>
    <t>Birhane, Abeba and Isaac, William and Prabhakaran, Vinodkumar and Diaz, Mark and Elish, Madeleine Clare and Gabriel, Iason and Mohamed, Shakir</t>
  </si>
  <si>
    <t>Proceedings of the 2nd ACM Conference on Equity and Access in Algorithms, Mechanisms, and Optimization</t>
  </si>
  <si>
    <t>10.1145/3551624.3555290</t>
  </si>
  <si>
    <t>Justice, Machine Learning, Participatory AI, Power</t>
  </si>
  <si>
    <t>Power to the People? Opportunities and Challenges for Participatory AI</t>
  </si>
  <si>
    <t>https://doi.org/10.1145/3551624.3555290</t>
  </si>
  <si>
    <t>Mil{\`a}-Garcia, Alba</t>
  </si>
  <si>
    <t>Corpus Pragmatics</t>
  </si>
  <si>
    <t>265--287</t>
  </si>
  <si>
    <t>Pragmatic annotation for a multi-layered analysis of speech acts: A methodological proposal</t>
  </si>
  <si>
    <t>Niculescu-Mizil, Alexandru and Caruana, Rich</t>
  </si>
  <si>
    <t>Proceedings of the 22nd international conference on Machine learning</t>
  </si>
  <si>
    <t>URL: \url{https://bit.ly/3434dZG}</t>
  </si>
  <si>
    <t>625--632</t>
  </si>
  <si>
    <t>Predicting {G}ood {P}robabilities with {S}upervised {L}earning</t>
  </si>
  <si>
    <t>Friedman, Jerome H. and Popescu, Bogdan E. and others</t>
  </si>
  <si>
    <t>The Annals of Applied Statistics</t>
  </si>
  <si>
    <t>URL: \url{https://projecteuclid.org/download/pdfview_1/euclid.aoas/1223908046}</t>
  </si>
  <si>
    <t>916--954</t>
  </si>
  <si>
    <t>Predictive {L}earning {V}ia {R}ule {E}nsembles</t>
  </si>
  <si>
    <t>URL: \url{https://www.oreilly.com/ideas/predictive-modeling-striking-a-balance-between-accuracy-and-interpretability}</t>
  </si>
  <si>
    <t>O'Reilly Ideas</t>
  </si>
  <si>
    <t>Predictive {M}odeling: {S}triking a {B}alance {B}etween {A}ccuracy and {I}nterpretability</t>
  </si>
  <si>
    <t>\url{https://microsoft.github.io/presidio/}</t>
  </si>
  <si>
    <t>Version 2.2</t>
  </si>
  <si>
    <t>{Presidio: Data Protection and De-identification SDK}</t>
  </si>
  <si>
    <t>https://microsoft.github.io/presidio/</t>
  </si>
  <si>
    <t>Steve Yadlowsky and Lyric Doshi and Nilesh Tripuraneni</t>
  </si>
  <si>
    <t>Pretraining Data Mixtures Enable Narrow Model Selection Capabilities in Transformer Models</t>
  </si>
  <si>
    <t>https://arxiv.org/abs/2311.00871</t>
  </si>
  <si>
    <t>McGregor, Sean</t>
  </si>
  <si>
    <t>15458--15463</t>
  </si>
  <si>
    <t>{Preventing Repeated Real World AI Failures by Cataloging Incidents: The AI Incident Database}</t>
  </si>
  <si>
    <t>https://arxiv.org/pdf/2011.08512</t>
  </si>
  <si>
    <t>UK Department for Science, Innovation and Technology</t>
  </si>
  <si>
    <t>\url{https://https://www.gov.uk/government/news/prime-minister-sets-out-blueprint-to-turbocharge-ai}</t>
  </si>
  <si>
    <t>Prime Minister sets out blueprint to turbocharge AI</t>
  </si>
  <si>
    <t>Shokri, Reza and Strobel, Martin and Zick, Yair</t>
  </si>
  <si>
    <t>arXiv preprint arXiv:1907.00164</t>
  </si>
  <si>
    <t>URL: \url{https://arxiv.org/pdf/1907.00164.pdf}</t>
  </si>
  <si>
    <t>Privacy {R}isks of {E}xplaining {M}achine {L}earning {M}odels</t>
  </si>
  <si>
    <t>Agrawal, Rakesh and Srikant, Ramakrishnan</t>
  </si>
  <si>
    <t>ACM Sigmod Record</t>
  </si>
  <si>
    <t>URL: \url{http://alme1.almaden.ibm.com/cs/projects/iis/hdb/Publications/papers/sigmod00_privacy.pdf}</t>
  </si>
  <si>
    <t>439--450</t>
  </si>
  <si>
    <t>Privacy-{P}reserving {D}ata {M}ining</t>
  </si>
  <si>
    <t>Salvatier, John and Wiecki, Thomas V and Fonnesbeck, Christopher</t>
  </si>
  <si>
    <t>PeerJ Computer Science</t>
  </si>
  <si>
    <t>URL: \url{http://citeseerx.ist.psu.edu/viewdoc/download?doi=10.1.1.800.6956&amp;rep=rep1&amp;type=pdf}</t>
  </si>
  <si>
    <t>e55</t>
  </si>
  <si>
    <t>PeerJ Inc.</t>
  </si>
  <si>
    <t>Probabilistic {P}rogramming in {P}ython using {P}y{M}{C}{3}</t>
  </si>
  <si>
    <t>Goodhart, Charles AE</t>
  </si>
  <si>
    <t>Monetary theory and practice: The UK experience</t>
  </si>
  <si>
    <t>91--121</t>
  </si>
  <si>
    <t>{Problems of monetary management: the UK experience}</t>
  </si>
  <si>
    <t>Kumar, I. Elizabeth and Venkatasubramanian, Suresh and Scheidegger, Carlos and Friedler, Sorelle</t>
  </si>
  <si>
    <t>arXiv preprint arXiv:2002.11097</t>
  </si>
  <si>
    <t>URL: \url{https://arxiv.org/pdf/2002.11097.pdf}</t>
  </si>
  <si>
    <t>Problems with {S}hapley-value-based {E}xplanations as {F}eature {I}mportance {M}easures</t>
  </si>
  <si>
    <t>Dublin, Ireland</t>
  </si>
  <si>
    <t>Muresan, Smaranda  and
Nakov, Preslav  and
Villavicencio, Aline</t>
  </si>
  <si>
    <t>proceedings</t>
  </si>
  <si>
    <t>Proceedings of the 60th Annual Meeting of the Association for Computational Linguistics (Volume 1: Long Papers)</t>
  </si>
  <si>
    <t>https://aclanthology.org/2022.acl-long.0/</t>
  </si>
  <si>
    <t>Saravia, Elvis</t>
  </si>
  <si>
    <t>https://github.com/dair-ai/Prompt-Engineering-Guide</t>
  </si>
  <si>
    <t>{Prompt Engineering Guide}</t>
  </si>
  <si>
    <t>Liu, Yi and Deng, Gelei and Li, Yuekang and Wang, Kailong and Zhang, Tianwei and Liu, Yepang and Wang, Haoyu and Zheng, Yan and Liu, Yang</t>
  </si>
  <si>
    <t>arXiv preprint arXiv:2306.05499</t>
  </si>
  <si>
    <t>Prompt Injection attack against LLM-integrated Applications</t>
  </si>
  <si>
    <t>https://arxiv.org/abs/2306.05499</t>
  </si>
  <si>
    <t>Jiawen Shi and Zenghui Yuan and Guiyao Tie and Pan Zhou and Neil Zhenqiang Gong and Lichao Sun</t>
  </si>
  <si>
    <t>arXiv preprint arXiv:2504.19793 (2025).</t>
  </si>
  <si>
    <t>Prompt injection attack to tool selection in LLM agents</t>
  </si>
  <si>
    <t>Zhu, Kaijie and Zhao, Qinlin and Chen, Hao and Wang, Jindong and Xie, Xing</t>
  </si>
  <si>
    <t>1--22</t>
  </si>
  <si>
    <t>Promptbench: A unified library for evaluation of large language models</t>
  </si>
  <si>
    <t>Stephen H. Bach and Victor Sanh and Zheng-Xin Yong and Albert Webson and Colin Raffel and Nihal V. Nayak and Abheesht Sharma and Taewoon Kim and M Saiful Bari and Thibault Fevry and Zaid Alyafeai and Manan Dey and Andrea Santilli and Zhiqing Sun and Srulik Ben-David and Canwen Xu and Gunjan Chhablani and Han Wang and Jason Alan Fries and Maged S. Al-shaibani and Shanya Sharma and Urmish Thakker and Khalid Almubarak and Xiangru Tang and Xiangru Tang and Mike Tian-Jian Jiang and Alexander M. Rush</t>
  </si>
  <si>
    <t>PromptSource: An Integrated Development Environment and Repository for Natural Language Prompts</t>
  </si>
  <si>
    <t>https://github.com/bigscience-workshop/promptsource</t>
  </si>
  <si>
    <t>URL: \url{https://www.oreilly.com/ideas/proposals-for-model-vulnerability-and-security}</t>
  </si>
  <si>
    <t>Proposals for {M}odel {V}ulnerability and {S}ecurity</t>
  </si>
  <si>
    <t>NeurIPS Robust AI in Financial Services Workshop</t>
  </si>
  <si>
    <t>Proposed {G}uidelines for the {R}esponsible {U}se of {E}xplainable {M}achine {L}earning</t>
  </si>
  <si>
    <t>Neal Parikh and Stephen Boyd</t>
  </si>
  <si>
    <t>http://web.stanford.edu/~boyd/papers/pdf/prox_algs.pdf</t>
  </si>
  <si>
    <t>\textit{Foundations and Trends in Optimization}</t>
  </si>
  <si>
    <t>123-231</t>
  </si>
  <si>
    <t>Proximal Algorithms</t>
  </si>
  <si>
    <t>Broniatowski, David A.</t>
  </si>
  <si>
    <t>URL: \url{https://tsapps.nist.gov/publication/get_pdf.cfm?pub_id=931426}</t>
  </si>
  <si>
    <t>NIST Interagency/Internal Report (NISTIR), National Institute of Standards~…</t>
  </si>
  <si>
    <t>Psychological {F}oundations of {E}xplainability and {I}nterpretability in {A}rtificial {I}ntelligence</t>
  </si>
  <si>
    <t>Gary D. Lopez Munoz and Amanda J. Minnich and Roman Lutz and Richard Lundeen and Raja Sekhar Rao Dheekonda and Nina Chikanov and Bolor-Erdene Jagdagdorj and Martin Pouliot and Shiven Chawla and Whitney Maxwell and Blake Bullwinkel and Katherine Pratt and Joris de Gruyter and Charlotte Siska and Pete Bryan and Tori Westerhoff and Chang Kawaguchi and Christian Seifert and Ram Shankar Siva Kumar and Yonatan Zunger</t>
  </si>
  <si>
    <t>{PyRIT: A Framework for Security Risk Identification and Red Teaming in Generative AI Systems}</t>
  </si>
  <si>
    <t>https://arxiv.org/abs/2410.02828</t>
  </si>
  <si>
    <t>ISO 9000:2015</t>
  </si>
  <si>
    <t>{Quality management systems—Fundamentals and vocabulary}</t>
  </si>
  <si>
    <t>https://www.iso.org/standard/45481.html</t>
  </si>
  <si>
    <t>Molnar, Christoph and Casalicchio, Giuseppe and Bischl, Bernd</t>
  </si>
  <si>
    <t>arXiv preprint arXiv:1904.03867</t>
  </si>
  <si>
    <t>URL: \url{https://arxiv.org/pdf/1904.03867.pdf}</t>
  </si>
  <si>
    <t>Quantifying {I}nterpretability of {A}rbitrary {M}achine {L}earning {M}odels {T}hrough {F}unctional {D}ecomposition</t>
  </si>
  <si>
    <t>Nicholas Carlini and Daphne Ippolito and Matthew Jagielski and Katherine Lee and Florian Tramer and Chiyuan Zhang</t>
  </si>
  <si>
    <t>Quantifying Memorization Across Neural Language Models</t>
  </si>
  <si>
    <t>https://arxiv.org/abs/2202.07646</t>
  </si>
  <si>
    <t>Leech, Gavin and Vazquez, Juan J and Yagudin, Misha and Kupper, Niclas and Aitchison, Laurence</t>
  </si>
  <si>
    <t>arXiv preprint arXiv:2407.12220</t>
  </si>
  <si>
    <t>Questionable practices in machine learning</t>
  </si>
  <si>
    <t>Erin LeDell</t>
  </si>
  <si>
    <t>http://www.stat.berkeley.edu/~ledell/R/h2oEnsemble.pdf</t>
  </si>
  <si>
    <t>R Ensemble Documentation</t>
  </si>
  <si>
    <t>Vienna, Austria</t>
  </si>
  <si>
    <t>R Core Team</t>
  </si>
  <si>
    <t>https://www.R-project.org</t>
  </si>
  <si>
    <t>R Foundation for Statistical Computing</t>
  </si>
  <si>
    <t>R: A Language and Environment for Statistical Computing</t>
  </si>
  <si>
    <t>Mikayel Samvelyan and Sharath Chandra Raparthy and Andrei Lupu and Eric Hambro and Aram H. Markosyan and Manish Bhatt and Yuning Mao and Minqi Jiang and Jack Parker-Holder and Jakob Foerster and Tim Rocktäschel and Roberta Raileanu</t>
  </si>
  <si>
    <t>Rainbow Teaming: Open-Ended Generation of Diverse Adversarial Prompts</t>
  </si>
  <si>
    <t>https://arxiv.org/abs/2402.16822</t>
  </si>
  <si>
    <t>Leo Breiman</t>
  </si>
  <si>
    <t>\textit{Machine learning}</t>
  </si>
  <si>
    <t>Random forests</t>
  </si>
  <si>
    <t>https://www.stat.berkeley.edu/~breiman/randomforest2001.pdf</t>
  </si>
  <si>
    <t>Bergstra, James and Bengio, Yoshua</t>
  </si>
  <si>
    <t>http://www.jmlr.org/papers/volume13/bergstra12a/bergstra12a.pdf</t>
  </si>
  <si>
    <t>1532-4435</t>
  </si>
  <si>
    <t>J. Mach. Learn. Res.</t>
  </si>
  <si>
    <t>February</t>
  </si>
  <si>
    <t>281--305</t>
  </si>
  <si>
    <t>Random Search for Hyper-parameter Optimization</t>
  </si>
  <si>
    <t>Mart{\'\i}nez, E.</t>
  </si>
  <si>
    <t>Artificial Intelligence and Law</t>
  </si>
  <si>
    <t>1--24</t>
  </si>
  <si>
    <t>Re-evaluating {GPT-4}'s bar exam performance</t>
  </si>
  <si>
    <t>https://link.springer.com/article/10.1007/s10506-024-09396-9</t>
  </si>
  <si>
    <t>Smith, Jessie J. and Amershi, Saleema and Barocas, Solon and Wallach, Hanna and Wortman Vaughan, Jennifer</t>
  </si>
  <si>
    <t>2022 ACM Conference on Fairness Accountability and Transparency</t>
  </si>
  <si>
    <t>FAccT ’22</t>
  </si>
  <si>
    <t>10.1145/3531146.3533122</t>
  </si>
  <si>
    <t>587–597</t>
  </si>
  <si>
    <t>REAL ML: Recognizing, Exploring, and Articulating Limitations of Machine Learning Research</t>
  </si>
  <si>
    <t>http://dx.doi.org/10.1145/3531146.3533122</t>
  </si>
  <si>
    <t>URL: \url{https://towardsdatascience.com/strategies-for-model-debugging-aa822f1097ce}</t>
  </si>
  <si>
    <t>Towards Data Science</t>
  </si>
  <si>
    <t>{R}eal-world {S}trategies for {M}odel {D}ebugging</t>
  </si>
  <si>
    <t>Schwartz, Reva and Chowdhury, Rumman and Kundu, Akash and Frase, Heather and Fadaee, Marzieh and David, Tom and Waters, Gabriella and Taik, Afaf and Briggs, Morgan and Hall, Patrick and others</t>
  </si>
  <si>
    <t>arXiv preprint arXiv:2505.18893</t>
  </si>
  <si>
    <t>{Reality Check: A New Evaluation Ecosystem Is Necessary to Understand AI's Real World Effects}</t>
  </si>
  <si>
    <t>Gehman, Samuel and Gururangan, Suchin and Sap, Maarten and Choi, Yejin and Smith, Noah A</t>
  </si>
  <si>
    <t>Findings of the association for computational linguistics: EMNLP 2020</t>
  </si>
  <si>
    <t>3356--3369</t>
  </si>
  <si>
    <t>Realtoxicityprompts: Evaluating neural toxic degeneration in language models</t>
  </si>
  <si>
    <t>https://aclanthology.org/2020.findings-emnlp.301.pdf</t>
  </si>
  <si>
    <t>Deep Ganguli and Liane Lovitt and Jackson Kernion and Amanda Askell and Yuntao Bai and Saurav Kadavath and Ben Mann and Ethan Perez and Nicholas Schiefer and Kamal Ndousse and Andy Jones and Sam Bowman and Anna Chen and Tom Conerly and Nova DasSarma and Dawn Drain and Nelson Elhage and Sheer El-Showk and Stanislav Fort and Zac Hatfield-Dodds and Tom Henighan and Danny Hernandez and Tristan Hume and Josh Jacobson and Scott Johnston and Shauna Kravec and Catherine Olsson and Sam Ringer and Eli Tran-Johnson and Dario Amodei and Tom Brown and Nicholas Joseph and Sam McCandlish and Chris Olah and Jared Kaplan and Jack Clark</t>
  </si>
  <si>
    <t>Red Teaming Language Models to Reduce Harms: Methods, Scaling Behaviors, and Lessons Learned</t>
  </si>
  <si>
    <t>https://arxiv.org/abs/2209.07858</t>
  </si>
  <si>
    <t>Ethan Perez and Saffron Huang and Francis Song and Trevor Cai and Roman Ring and John Aslanides and Amelia Glaese and Nat McAleese and Geoffrey Irving</t>
  </si>
  <si>
    <t>Red Teaming Language Models with Language Models</t>
  </si>
  <si>
    <t>https://arxiv.org/abs/2202.03286</t>
  </si>
  <si>
    <t>The Royal Society</t>
  </si>
  <si>
    <t>\url{https://royalsociety.org/news-resources/publications/2024/red-teaming-llms-for-resilience-to-scientific-disinformation/}</t>
  </si>
  <si>
    <t>Red Teaming Large Language Models (LLMs) for Resilience to Scientific Disinformation</t>
  </si>
  <si>
    <t>Longbine, D. F.</t>
  </si>
  <si>
    <t>\url{https://apps.dtic.mil/sti/citations/ADA485514}</t>
  </si>
  <si>
    <t>Red Teaming: Past and Present</t>
  </si>
  <si>
    <t>Alan Mislove</t>
  </si>
  <si>
    <t>Accessed = 2024-11-22</t>
  </si>
  <si>
    <t>The White House</t>
  </si>
  <si>
    <t>Red-Teaming Large Language Models to Identify Novel {AI} Risks</t>
  </si>
  <si>
    <t>https://www.whitehouse.gov/ostp/news-updates/2023/08/29/red-teaming-large-language-models-to-identify-novel-ai-risks/</t>
  </si>
  <si>
    <t>G.E. Hinton and R.R. Salakhutdinov</t>
  </si>
  <si>
    <t>http://www.cs.toronto.edu/~hinton/science.pdf</t>
  </si>
  <si>
    <t>\textit{Science}</t>
  </si>
  <si>
    <t>504--507</t>
  </si>
  <si>
    <t>Reducing the Dimensionality of Data with Neural Networks</t>
  </si>
  <si>
    <t>Rob Tibshirani</t>
  </si>
  <si>
    <t>http://statweb.stanford.edu/~tibs/lasso/lasso.pdf</t>
  </si>
  <si>
    <t>\textit{Journal of the Royal Statistical Society. Series B (Methodological)}</t>
  </si>
  <si>
    <t>267-288</t>
  </si>
  <si>
    <t>Regression Shrinkage and Selection via the Lasso</t>
  </si>
  <si>
    <t>Hui Zou and Trevor Hastie</t>
  </si>
  <si>
    <t>\textit{Journal of the Royal Statistical Society. Series B}</t>
  </si>
  <si>
    <t>301--320</t>
  </si>
  <si>
    <t>Regularization and variable selection via the Elastic Net</t>
  </si>
  <si>
    <t>Jerome Friedman and Trevor Hastie and Rob Tibshirani</t>
  </si>
  <si>
    <t>http://core.ac.uk/download/pdf/6287975.pdf</t>
  </si>
  <si>
    <t>\textit{Journal of Statistical Software}</t>
  </si>
  <si>
    <t>Regularization Paths for Generalized Linear Models via Coordinate Descent</t>
  </si>
  <si>
    <t>We draw from the framework of relationality as a pathway for modeling social relations to address gaps in text classification, generally, and offensive language classification, specifically. We use minoritized language, such as queer speech, to motivate a need for understanding and modeling social relations{--}both among individuals and among their social communities. We then point to socio-ethical style as a research area for inferring and measuring social relations as well as propose additional questions to structure future research on operationalizing social context.</t>
  </si>
  <si>
    <t>Toronto, Canada</t>
  </si>
  <si>
    <t>Amironesei, Razvan  and
Diaz, Mark</t>
  </si>
  <si>
    <t>The 7th Workshop on Online Abuse and Harms (WOAH)</t>
  </si>
  <si>
    <t>10.18653/v1/2023.woah-1.8</t>
  </si>
  <si>
    <t>Chung, Yi-ling  and
R{{\textbackslash}"ottger}, Paul  and
Nozza, Debora  and
Talat, Zeerak  and
Mostafazadeh Davani, Aida</t>
  </si>
  <si>
    <t>85--95</t>
  </si>
  <si>
    <t>Relationality and Offensive Speech: A Research Agenda</t>
  </si>
  <si>
    <t>https://aclanthology.org/2023.woah-1.8</t>
  </si>
  <si>
    <t>Scott, William A.</t>
  </si>
  <si>
    <t>Public opinion quarterly</t>
  </si>
  <si>
    <t>321--325</t>
  </si>
  <si>
    <t>Reliability of content analysis: The case of nominal scale coding</t>
  </si>
  <si>
    <t>https://www.jstor.org/stable/pdf/2746450.pdf</t>
  </si>
  <si>
    <t>Thomas, Rachel L and Uminsky, David</t>
  </si>
  <si>
    <t>Patterns</t>
  </si>
  <si>
    <t>Reliance on metrics is a fundamental challenge for {AI}</t>
  </si>
  <si>
    <t>CFTC</t>
  </si>
  <si>
    <t>Commodity Futures Trading Commission, Technology Advisory Committee</t>
  </si>
  <si>
    <t>Responsible Artificial Intelligence in Financial Markets: Opportunities, Risks \&amp; Recommendations</t>
  </si>
  <si>
    <t>https://www.cftc.gov/media/10626/TAC_AIReport050224/download</t>
  </si>
  <si>
    <t>Dignum, Virginia</t>
  </si>
  <si>
    <t>Responsible {A}rtificial {I}ntelligence: {H}ow to {D}evelop and {U}se {AI} in a {R}esponsible {W}ay</t>
  </si>
  <si>
    <t>Hall, Patrick and Gill, Navdeep and Cox, Benjamin</t>
  </si>
  <si>
    <t>URL: \url{http://info.h2o.ai/rs/644-PKX-778/images/OReilly_Responsible_ML_eBook.pdf}</t>
  </si>
  <si>
    <t>Responsible {M}achine {L}earning: {A}ctionable {S}trategies for {M}itigating {R}isks and {D}riving {A}doption</t>
  </si>
  <si>
    <t>Lewis, Patrick and Perez, Ethan and Piktus, Aleksandra and Petroni, Fabio and Karpukhin, Vladimir and Goyal, Naman and K{\"u}ttler, Heinrich and Lewis, Mike and Yih, Wen-tau and Rockt{\"a}schel, Tim and others</t>
  </si>
  <si>
    <t>9459--9474</t>
  </si>
  <si>
    <t>{Retrieval-augmented Generation for Knowledge-intensive NLP Tasks}</t>
  </si>
  <si>
    <t>https://proceedings.neurips.cc/paper_files/paper/2020/file/6b493230205f780e1bc26945df7481e5-Paper.pdf</t>
  </si>
  <si>
    <t>Aven, Terje</t>
  </si>
  <si>
    <t>Risk Analysis</t>
  </si>
  <si>
    <t>1011--1020</t>
  </si>
  <si>
    <t>Risk literacy: Foundational issues and its connection to risk science</t>
  </si>
  <si>
    <t>Ivanova, Anna A</t>
  </si>
  <si>
    <t>arXiv preprint arXiv:2312.01276</t>
  </si>
  <si>
    <t>Running cognitive evaluations on large language models: The do's and the don'ts</t>
  </si>
  <si>
    <t>Gosiewska, Alicja and Gacek, Aleksandra and Lubon, Piotr and Biecek, Przemyslaw</t>
  </si>
  <si>
    <t>arXiv preprint arXiv:1902.11035</t>
  </si>
  <si>
    <t>URL: \url{https://arxiv.org/pdf/1902.11035v1.pdf}</t>
  </si>
  <si>
    <t>S{A}{F}{E} {M}{L}: {S}urrogate {A}ssisted {F}eature {E}xtraction for {M}odel {L}earning</t>
  </si>
  <si>
    <t xml:space="preserve">Hall, Patrick and Burt, Andrew </t>
  </si>
  <si>
    <t>URL: \url{https://bnh-ai.github.io/resources/}</t>
  </si>
  <si>
    <t>bnh.ai</t>
  </si>
  <si>
    <t>Sample AI Incident Response Checklist</t>
  </si>
  <si>
    <t>Hongyu Yang and Cynthia Rudin and Margo Seltzer</t>
  </si>
  <si>
    <t>Proceedings of the 34th International Conference on Machine Learning {(ICML)}</t>
  </si>
  <si>
    <t>URL: \url{https://arxiv.org/pdf/1602.08610.pdf}</t>
  </si>
  <si>
    <t>Scalable {B}ayesian {R}ule {L}ists</t>
  </si>
  <si>
    <t>Papernot, Nicolas and Song, Shuang and Mironov, Ilya and Raghunathan, Ananth and Talwar, Kunal and Erlingsson, {\'U}lfar</t>
  </si>
  <si>
    <t>arXiv preprint arXiv:1802.08908</t>
  </si>
  <si>
    <t>URL: \url{https://arxiv.org/pdf/1802.08908.pdf}</t>
  </si>
  <si>
    <t>Scalable {P}rivate {L}earning with {P}{A}{T}{E}</t>
  </si>
  <si>
    <t>\url{https://royalsociety.org/science-events-and-lectures/2023/10/ai-safety-science-redteam/}</t>
  </si>
  <si>
    <t>Science x AI Safety: Red Teaming LLMs for Resilience to Scientific Disinformation</t>
  </si>
  <si>
    <t>Gaithersburg, MD</t>
  </si>
  <si>
    <t>Joint Task Force Transformation Initiative Interagency Working Group</t>
  </si>
  <si>
    <t>10.6028/NIST.SP.800-53r4</t>
  </si>
  <si>
    <t>NIST Special Publication (SP) 800-53, Rev. 4, Includes updates as of January 22, 2015</t>
  </si>
  <si>
    <t>Security and Privacy Controls for Federal Information Systems and Organizations</t>
  </si>
  <si>
    <t>Washington, D.C.</t>
  </si>
  <si>
    <t>10.6028/NIST.FIPS.140-2</t>
  </si>
  <si>
    <t>Federal Information Processing Standards Publications (FIPS PUBS) 140-2, Change Notice 2 December 03, 2002</t>
  </si>
  <si>
    <t>Security Requirements for Cryptographic Modules</t>
  </si>
  <si>
    <t>Sutskever, Ilya and Vinyals, Oriol and Le, Quoc V.</t>
  </si>
  <si>
    <t>Z. Ghahramani and M. Welling and C. Cortes and N. Lawrence and K.Q. Weinberger</t>
  </si>
  <si>
    <t>URL: \url{https://proceedings.neurips.cc/paper_files/paper/2014/file/a14ac55a4f27472c5d894ec1c3c743d2-Paper.pdf}</t>
  </si>
  <si>
    <t>Sequence to Sequence Learning with Neural Networks</t>
  </si>
  <si>
    <t>Hall, Patrick and Ouederni, Ayoub</t>
  </si>
  <si>
    <t>URL: \url{https://www.oreilly.com/radar/seven-legal-questions-for-data-scientists/}</t>
  </si>
  <si>
    <t>O'Reilly Radar</t>
  </si>
  <si>
    <t>Seven {L}egal {Q}uestions for {D}ata {S}cientists</t>
  </si>
  <si>
    <t>Doddington, George R. and Liggett, Walter and Martin, Alvin F. and Przybocki, Mark A. and Reynolds, Douglas A.</t>
  </si>
  <si>
    <t>ICSLP</t>
  </si>
  <si>
    <t>1351--1354</t>
  </si>
  <si>
    <t>{SHEEP, GOATS, LAMBS and WOLVES: a statistical analysis of speaker performance in the NIST 1998 speaker recognition evaluation}</t>
  </si>
  <si>
    <t>Jesse Dodge and Suchin Gururangan and Dallas Card and Roy Schwartz and Noah A. Smith</t>
  </si>
  <si>
    <t>Show Your Work: Improved Reporting of Experimental Results</t>
  </si>
  <si>
    <t>https://arxiv.org/abs/1909.03004</t>
  </si>
  <si>
    <t>Sheng Ouyang and Yihao Qin and Bo Lin and Liqian Chen and Xiaoguang Mao and Shangwen Wang</t>
  </si>
  <si>
    <t>arXiv preprint arXiv:2503.17953.</t>
  </si>
  <si>
    <t>Smoke and mirrors: Jailbreaking LLM-based code generation via implicit malicious prompts</t>
  </si>
  <si>
    <t>Conitzer, Vincent and Freedman, Rachel and Heitzig, Jobst and Holliday, Wesley H and Jacobs, Bob M and Lambert, Nathan and Moss{\'e}, Milan and Pacuit, Eric and Russell, Stuart and Schoelkopf, Hailey and others</t>
  </si>
  <si>
    <t>arXiv preprint arXiv:2404.10271</t>
  </si>
  <si>
    <t>Social choice for {AI} alignment: Dealing with diverse human feedback</t>
  </si>
  <si>
    <t>Bernard, H. Russell</t>
  </si>
  <si>
    <t>Sage</t>
  </si>
  <si>
    <t>{Social Research Methods: Qualitative and quantitative approaches}</t>
  </si>
  <si>
    <t>Bhattacherjee, Anol and Toleman, Mark and Rowling, Samara and Frederiks, Anita and Andersen, Nikki</t>
  </si>
  <si>
    <t>University of Southern Queensland</t>
  </si>
  <si>
    <t>{Social Science Research: Principles, Methods and Practices}</t>
  </si>
  <si>
    <t>Shelby, Renee and Rismani, Shalaleh and Henne, Kathryn and Moon, AJung and Rostamzadeh, Negar and Nicholas, Paul and Yilla-Akbari, N'Mah and Gallegos, Jess and Smart, Andrew and Garcia, Emilio and others</t>
  </si>
  <si>
    <t>Proceedings of the 2023 AAAI/ACM Conference on AI, Ethics, and Society</t>
  </si>
  <si>
    <t>723--741</t>
  </si>
  <si>
    <t>Sociotechnical harms of algorithmic systems: Scoping a taxonomy for harm reduction</t>
  </si>
  <si>
    <t>Laura Weidinger and Maribeth Rauh and Nahema Marchal and Arianna Manzini and Lisa Anne Hendricks and Juan Mateos-Garcia and Stevie Bergman and Jackie Kay and Conor Griffin and Ben Bariach and Iason Gabriel and Verena Rieser and William Isaac</t>
  </si>
  <si>
    <t>Sociotechnical Safety Evaluation of Generative AI Systems</t>
  </si>
  <si>
    <t>https://arxiv.org/abs/2310.11986</t>
  </si>
  <si>
    <t>Stadler, C. and Rajwani, T. and Karaba, F.</t>
  </si>
  <si>
    <t>10.1111/ijmr.12015</t>
  </si>
  <si>
    <t>International Journal of Management Reviews</t>
  </si>
  <si>
    <t>172--193</t>
  </si>
  <si>
    <t>Solutions to the exploration/exploitation dilemma: networks as a new level of analysis</t>
  </si>
  <si>
    <t>https://doi.org/10.1111/ijmr.12015</t>
  </si>
  <si>
    <t>Trist, E. L. and Bamforth, K. W.</t>
  </si>
  <si>
    <t>10.1177/001872675100400101</t>
  </si>
  <si>
    <t>0018-7267, 1741-282X</t>
  </si>
  <si>
    <t>Human Relations</t>
  </si>
  <si>
    <t>3–38</t>
  </si>
  <si>
    <t>https://journals.sagepub.com/page/policies/text-and-data-mining-license</t>
  </si>
  <si>
    <t>Some Social and Psychological Consequences of the Longwall Method of Coal-Getting: An Examination of the Psychological Situation and Defences of a Work Group in Relation to the Social Structure and Technological Content of the Work System</t>
  </si>
  <si>
    <t>https://journals.sagepub.com/doi/10.1177/001872675100400101</t>
  </si>
  <si>
    <t>Bubeck, S{\'e}bastien and Chandrasekaran, Varun and Eldan, Ronen and Gehrke, Johannes and Horvitz, Eric and Kamar, Ece and Lee, Peter and Lee, Yin Tat and Li, Yuanzhi and Lundberg, Scott and others</t>
  </si>
  <si>
    <t>arXiv preprint:2303.12712</t>
  </si>
  <si>
    <t>{Sparks of Artificial General Intelligence: Early Experiments with GPT-4}</t>
  </si>
  <si>
    <t>Zou, Hui and Hastie, Trevor and Tibshirani, Robert</t>
  </si>
  <si>
    <t>Journal of computational and graphical statistics</t>
  </si>
  <si>
    <t>URL: \url{https://www.cc.gatech.edu/home/isbell/classes/reading/papers/sparsepc.pdf}</t>
  </si>
  <si>
    <t>265--286</t>
  </si>
  <si>
    <t>Sparse {P}rincipal {C}omponent {A}nalysis</t>
  </si>
  <si>
    <t>Shumailov, I. and others</t>
  </si>
  <si>
    <t>IEEE European Symposium on Security and Privacy (EuroS\&amp;P)</t>
  </si>
  <si>
    <t>IEEE, 2021.</t>
  </si>
  <si>
    <t>212--231</t>
  </si>
  <si>
    <t>Sponge examples: Energy-latency attacks on neural networks</t>
  </si>
  <si>
    <t>https://arxiv.org/abs/2006.03463</t>
  </si>
  <si>
    <t>Rajpurkar, Pranav and Zhang, Jian and Lopyrev, Konstantin and Liang, Percy</t>
  </si>
  <si>
    <t>Proceedings of the 2016 Conference on Empirical Methods in Natural Language Processing</t>
  </si>
  <si>
    <t>2383--2392</t>
  </si>
  <si>
    <t>{SQuAD: 100,000+ Questions for Machine Comprehension of Text}</t>
  </si>
  <si>
    <t>https://aclanthology.org/D16-1264.pdf</t>
  </si>
  <si>
    <t>\textit{Statistical Science}</t>
  </si>
  <si>
    <t>Statistical Modeling: The Two Cultures (with comments and a rejoinder by the author)</t>
  </si>
  <si>
    <t>https://projecteuclid.org/euclid.ss/1009213726</t>
  </si>
  <si>
    <t>URL: \url{http://www.utstat.toronto.edu/~brunner/oldclass/378f16/readings/CohenPower.pdf}</t>
  </si>
  <si>
    <t>Lawrence Erlbaum Associates</t>
  </si>
  <si>
    <t>Statistical {P}ower {A}nalysis for the {B}ehavioral {S}ciences</t>
  </si>
  <si>
    <t>Box, George E.P. and Hunter, J. Stuart and Hunter, William G.</t>
  </si>
  <si>
    <t>Statistics for Experimenters: Design, Innovation, and Discovery</t>
  </si>
  <si>
    <t>Tram{\`e}r, Florian and Zhang, Fan and Juels, Ari and Reiter, Michael K and Ristenpart, Thomas</t>
  </si>
  <si>
    <t>25th $\{$USENIX$\}$ Security Symposium ($\{$USENIX$\}$ Security 16)</t>
  </si>
  <si>
    <t>URL: \url{https://www.usenix.org/system/files/conference/usenixsecurity16/sec16_paper_tramer.pdf}</t>
  </si>
  <si>
    <t>601--618</t>
  </si>
  <si>
    <t>USENIX Security 16</t>
  </si>
  <si>
    <t>Stealing {M}achine {L}earning {M}odels via {P}rediction {A}{P}{I}s</t>
  </si>
  <si>
    <t>Nicholas Carlini and Daniel Paleka and Krishnamurthy Dj Dvijotham and Thomas Steinke and Jonathan Hayase and A. Feder Cooper and Katherine Lee and Matthew Jagielski and Milad Nasr and Arthur Conmy and Itay Yona and Eric Wallace and David Rolnick and Florian Tramèr</t>
  </si>
  <si>
    <t>Stealing Part of a Production Language Model</t>
  </si>
  <si>
    <t>https://arxiv.org/abs/2403.06634</t>
  </si>
  <si>
    <t>Moin Nadeem and Anna Bethke and Siva Reddy</t>
  </si>
  <si>
    <t>{StereoSet: Measuring stereotypical bias in pretrained language models}</t>
  </si>
  <si>
    <t>https://arxiv.org/pdf/2004.09456</t>
  </si>
  <si>
    <t>Nature machine intelligence</t>
  </si>
  <si>
    <t>206--215</t>
  </si>
  <si>
    <t>Stop explaining black box machine learning models for high stakes decisions and use interpretable models instead</t>
  </si>
  <si>
    <t>FRB</t>
  </si>
  <si>
    <t>Board of Governors of the Federal Reserve System</t>
  </si>
  <si>
    <t>Stress Tests</t>
  </si>
  <si>
    <t>https://www.federalreserve.gov/supervisionreg/stress-tests-capital-planning.htm</t>
  </si>
  <si>
    <t>Jacob Bien and Jerome Friedman and Trevor Hastie and Noah Simon and Jonathan Taylor and Rob Tibshirani and Ryan J. Tibshirani</t>
  </si>
  <si>
    <t>http://statweb.stanford.edu/~tibs/ftp/strong.pdf</t>
  </si>
  <si>
    <t>Strong Rules for Discarding Predictors in Lasso-type Problems</t>
  </si>
  <si>
    <t>Eckert, Penelope and Rickford, John R</t>
  </si>
  <si>
    <t>Style and sociolinguistic variation</t>
  </si>
  <si>
    <t>Khalid, Osama and Srinivasan, Padmini</t>
  </si>
  <si>
    <t>Proceedings of the international AAAI conference on web and social media</t>
  </si>
  <si>
    <t>360--369</t>
  </si>
  <si>
    <t>Style matters! Investigating linguistic style in online communities</t>
  </si>
  <si>
    <t>Transportation analysts are inundated with requests to apply popular machine learning modeling techniques to datasets to uncover never-before-seen relationships that could potentially revolutionize safety, congestion, and mobility. However, the results from such models can be influenced not just by biases in underlying data, but also through practitioner-induced biases. To demonstrate the significant number of subjective judgments made in the development and interpretation of machine learning models, we developed Logistic Regression and Neural Network models for transportation-focused datasets including those looking at driving injury/fatalities and pedestrian fatalities. We then developed five different representations of feature importance for each dataset, including different feature interpretations commonly used in the machine learning community. Twelve distinct judgments were highlighted in the development and interpretation of these models, which produced inconsistent results. Such inconsistencies can lead to very different interpretations of the results, which can lead to errors of commission and omission, with significant cost and safety implications if policies are erroneously adapted from such outcomes.</t>
  </si>
  <si>
    <t>Cummings, Mary L. and Li, Songpo</t>
  </si>
  <si>
    <t>10.1145/3418034</t>
  </si>
  <si>
    <t>1936-1955</t>
  </si>
  <si>
    <t>J. Data and Information Quality</t>
  </si>
  <si>
    <t>Bias, interpretable machine learning, transportation, logistic regression, subjectivity</t>
  </si>
  <si>
    <t>Subjectivity in the Creation of Machine Learning Models</t>
  </si>
  <si>
    <t>https://doi.org/10.1145/3418034</t>
  </si>
  <si>
    <t>Wang, Alex and Pruksachatkun, Yada and Nangia, Nikita and Singh, Amanpreet and Michael, Julian and Hill, Felix and Levy, Omer and Bowman, Samuel</t>
  </si>
  <si>
    <t>{SuperGLUE: A Stickier Benchmark for General-purpose Language Understanding Systems}</t>
  </si>
  <si>
    <t>https://papers.neurips.cc/paper/2019/file/4496bf24afe7fab6f046bf4923da8de6-Paper.pdf</t>
  </si>
  <si>
    <t>Ustun, Berk and Rudin, Cynthia</t>
  </si>
  <si>
    <t>URL: \url{https://users.cs.duke.edu/~cynthia/docs/UstunTrRuAAAI13.pdf}</t>
  </si>
  <si>
    <t>349--391</t>
  </si>
  <si>
    <t>{Supersparse {L}inear {I}nteger {M}odels for {O}ptimized {M}edical {S}coring {S}ystems}</t>
  </si>
  <si>
    <t>FRB/OCC</t>
  </si>
  <si>
    <t>Board of Governors of the Federal Reserve System and Office of the Comptroller of the Currency</t>
  </si>
  <si>
    <t>SR 11-7; OCC 2011-12</t>
  </si>
  <si>
    <t>{Supervisory Guidance on Model Risk Management}</t>
  </si>
  <si>
    <t>https://www.federalreserve.gov/supervisionreg/srletters/sr1107a1.pdf</t>
  </si>
  <si>
    <t>Feynman, Richard P.</t>
  </si>
  <si>
    <t>W. W. Norton \&amp; Company</t>
  </si>
  <si>
    <t>Surely You're Joking, Mr. Feynman!: Adventures of a Curious Character</t>
  </si>
  <si>
    <t>Holdaway, Keith and Hall, Patrick and Silva, Jorge and Kabul, Ilknur</t>
  </si>
  <si>
    <t>International Conference and Exhibition, Barcelona, Spain, 3-6 April 2016</t>
  </si>
  <si>
    <t>URL: \url{https://library.seg.org/doi/10.1190/ice2016-6319324.1}</t>
  </si>
  <si>
    <t>239--239</t>
  </si>
  <si>
    <t>Surface {R}eservoir {C}haracteristics from {S}ubsurface {S}eismic {I}mages with {D}eep {L}earning {M}ethodologies</t>
  </si>
  <si>
    <t>Artstein, Ron and Poesio, Massimo</t>
  </si>
  <si>
    <t>Computational linguistics</t>
  </si>
  <si>
    <t>555--596</t>
  </si>
  <si>
    <t>Survey article: Inter-coder agreement for computational linguistics</t>
  </si>
  <si>
    <t>https://doi.org/10.1162/coli.07-034-R2</t>
  </si>
  <si>
    <t>Ji, Ziwei and Lee, Nayeon and Frieske, Rita and Yu, Tiezheng and Su, Dan and Xu, Yan and Ishii, Etsuko and Bang, Ye Jin and Madotto, Andrea and Fung, Pascale</t>
  </si>
  <si>
    <t>ACM computing surveys</t>
  </si>
  <si>
    <t>1--38</t>
  </si>
  <si>
    <t>Survey of hallucination in natural language generation</t>
  </si>
  <si>
    <t>Alsallakh, Bilal and Cheema, Adeel and Procope, Chavez and Adkins, David and McReynolds, Emily and Wang, Erin and Pehl, Grace and Green, Nekesha and Zvyagina, Polina</t>
  </si>
  <si>
    <t>Meta AI</t>
  </si>
  <si>
    <t>{System-level Transparency of Machine Learning}</t>
  </si>
  <si>
    <t>https://ai.meta.com/research/publications/system-level-transparency-of-machine-learning/</t>
  </si>
  <si>
    <t>ISO/IEC/IEEE</t>
  </si>
  <si>
    <t>{Systems and software engineering — Vocabulary}</t>
  </si>
  <si>
    <t>Ninghui Li and Tiancheng Li and Suresh Venkatasubramanian</t>
  </si>
  <si>
    <t>2007 IEEE 23rd International Conference on Data Engineering</t>
  </si>
  <si>
    <t>URL:\url{http://www.utdallas.edu/~mxk055100/courses/privacy08f_files/tcloseness.pdf}</t>
  </si>
  <si>
    <t>106--115</t>
  </si>
  <si>
    <t>t-{C}loseness: {P}rivacy {B}eyond k-{A}nonymity and l-diversity</t>
  </si>
  <si>
    <t>Erickson, Nick and Purucker, Lennart and Tschalzev, Andrej and Holzm{\"u}ller, David and Desai, Prateek Mutalik and Salinas, David and Hutter, Frank</t>
  </si>
  <si>
    <t>The Thirty-ninth Annual Conference on Neural Information Processing Systems Datasets and Benchmarks Track</t>
  </si>
  <si>
    <t>{TabArena: A Living Benchmark for Machine Learning on Tabular Data}</t>
  </si>
  <si>
    <t>Li, C. and Flanigan, J.</t>
  </si>
  <si>
    <t>10.48550/arXiv.2312.16337</t>
  </si>
  <si>
    <t>18471--18480</t>
  </si>
  <si>
    <t>Task contamination: Language models may not be few-shot anymore</t>
  </si>
  <si>
    <t>https://doi.org/10.48550/arXiv.2312.16337</t>
  </si>
  <si>
    <t>Shen, Yongliang and Song, Kaitao and Tan, Xu and Zhang, Wenqi and Ren, Kan and Yuan, Siyu and Lu, Weiming and Li, Dongsheng and Zhuang, Yueting</t>
  </si>
  <si>
    <t>4540--4574</t>
  </si>
  <si>
    <t>Taskbench: Benchmarking large language models for task automation</t>
  </si>
  <si>
    <t>Pete Bryan and Giorgio Severi and Joris de Gruyter and Daniel Jones and Blake Bullwinkel,
Amanda Minnich and Shiven Chawla and Gary Lopez and Martin Pouliot and Adam Fourney,
Whitney Maxwell and Katherine Pratt and Saphir Qi and Nina Chikanov and Roman Lutz and Raja
Sekhar Rao Dheekonda and Bolor-Erdene Jagdagdorj and Eugenia Kim and Justin Song,
Keegan Hines and Daniel Jones and Richard Lundeen and Sam Vaughan and Victoria Westerhoff,
Yonatan Zunger and Chang Kawaguchi and Mark Russinovich and Ram Shankar Siva Kumar</t>
  </si>
  <si>
    <t>Microsoft AI Red Team (2025).</t>
  </si>
  <si>
    <t>{Taxonomy of Failure Mode[s] in Agentic AI Systems}</t>
  </si>
  <si>
    <t>https://cdn-dynmedia-1.microsoft.com/is/content/microsoftcorp/microsoft/final/en-us/microsoft-brand/documents/Taxonomy-of-Failure-Mode-in-Agentic-AI-Systems-Whitepaper.pdf</t>
  </si>
  <si>
    <t>Weidinger, Laura and Uesato, Jonathan and Rauh, Maribeth and Griffin, Conor and Huang, Po-Sen and Mellor, John and Glaese, Amelia and Cheng, Myra and Balle, Borja and Kasirzadeh, Atoosa and others</t>
  </si>
  <si>
    <t>2022 ACM Conference on Fairness, Accountability, and Transparency</t>
  </si>
  <si>
    <t>214--229</t>
  </si>
  <si>
    <t>Taxonomy of {R}isks {P}osed by {L}anguage {M}odels</t>
  </si>
  <si>
    <t>Hans Lohninger</t>
  </si>
  <si>
    <t>http://www.vias.org/tmdatanaleng/index.html</t>
  </si>
  <si>
    <t>Springer-Verlag</t>
  </si>
  <si>
    <t>Teach/Me Data Analysis</t>
  </si>
  <si>
    <t>Nicolas Papernot and Fartash Faghri and Nicholas Carlini and
Ian Goodfellow and Reuben Feinman and Alexey Kurakin and Cihang Xie and
Yash Sharma and Tom Brown and Aurko Roy and Alexander Matyasko and
Vahid Behzadan and Karen Hambardzumyan and Zhishuai Zhang and
Yi-Lin Juang and Zhi Li and Ryan Sheatsley and Abhibhav Garg and
Jonathan Uesato and Willi Gierke and Yinpeng Dong and David Berthelot and
Paul Hendricks and Jonas Rauber and Rujun Long</t>
  </si>
  <si>
    <t>arXiv preprint arXiv:1610.00768</t>
  </si>
  <si>
    <t>URL: \url{https://arxiv.org/pdf/1610.00768.pdf}</t>
  </si>
  <si>
    <t>{T}echnical {R}eport on the {C}leverHans v2.1.0 {A}dversarial {E}xamples {L}ibrary</t>
  </si>
  <si>
    <t>Hall, Patrick and Navdeep Gill and Lingyao Meng</t>
  </si>
  <si>
    <t>URL: \url{https://www.oreilly.com/ideas/testing-machine-learning-interpretability-techniques}</t>
  </si>
  <si>
    <t>Testing {M}achine {L}earning {E}xplanation {T}echniques</t>
  </si>
  <si>
    <t>Morris, John and Lifland, Eli and Yoo, Jin Yong and Grigsby, Jake and Jin, Di and Qi, Yanjun</t>
  </si>
  <si>
    <t>Proceedings of the 2020 Conference on Empirical Methods in Natural Language Processing: System Demonstrations</t>
  </si>
  <si>
    <t>119--126</t>
  </si>
  <si>
    <t>{TextAttack: A Framework for Adversarial Attacks, Data Augmentation, and Adversarial Training in NLP}</t>
  </si>
  <si>
    <t>https://arxiv.org/pdf/2005.05909</t>
  </si>
  <si>
    <t>Hoare, Charles Antony Richard</t>
  </si>
  <si>
    <t>Communications</t>
  </si>
  <si>
    <t>URL: \url{http://www.cs.fsu.edu/~engelen/courses/COP4610/hoare.pdf}</t>
  </si>
  <si>
    <t>The 1980 {A}{C}{M} {T}uring {A}ward {L}ecture</t>
  </si>
  <si>
    <t>Haidt, Jonathan</t>
  </si>
  <si>
    <t>Penguin</t>
  </si>
  <si>
    <t>{The Anxious Generation: How the Great Rewiring of Childhood is Causing an Epidemic of Mental Illness}</t>
  </si>
  <si>
    <t>Brahman, Faeze and Kumar, Sachin and Balachandran, Vidhisha and Dasigi, Pradeep and Pyatkin, Valentina and Ravichander, Abhilasha and Wiegreffe, Sarah and Dziri, Nouha and Chandu, Khyathi and Hessel, Jack and Tsvetkov, Yulia and Smith, Noah A. and Choi, Yejin and Hajishirzi, Hannaneh</t>
  </si>
  <si>
    <t>10.52202/079017-1573</t>
  </si>
  <si>
    <t>A. Globerson and L. Mackey and D. Belgrave and A. Fan and U. Paquet and J. Tomczak and C. Zhang</t>
  </si>
  <si>
    <t>49706--49748</t>
  </si>
  <si>
    <t>The Art of Saying No: Contextual Noncompliance in Language Models</t>
  </si>
  <si>
    <t>https://proceedings.neurips.cc/paper_files/paper/2024/file/58e79894267cf72c66202228ad9c6057-Paper-Datasets_and_Benchmarks_Track.pdf</t>
  </si>
  <si>
    <t>Reva Schwartz and Gabriella Waters and Razvan Amironesei and Craig Greenberg and Jon Fiscus and Patrick Hall and Anya Jones and Shomik Jain and
Afzal Godil and Kristen Greene and Ted Jensen and Noah Schulman</t>
  </si>
  <si>
    <t>{The Assessing Risks and Impacts of AI (ARIA) Program Evaluation Design Document}</t>
  </si>
  <si>
    <t>https://ai-challenges.nist.gov/uassets/ARIA_Program_Companion_Document_Dec20.pdf</t>
  </si>
  <si>
    <t>Bandarkar, Lucas and Liang, Davis and Muller, Benjamin and Artetxe, Mikel and Shukla, Satya Narayan and Husa, Donald and Goyal, Naman and Krishnan, Abhinandan and Zettlemoyer, Luke and Khabsa, Madian</t>
  </si>
  <si>
    <t>Proceedings of the 62nd Annual Meeting of the Association for Computational Linguistics (Volume 1: Long Papers)</t>
  </si>
  <si>
    <t>10.18653/v1/2024.acl-long.44</t>
  </si>
  <si>
    <t>749–775</t>
  </si>
  <si>
    <t>The Belebele Benchmark: a Parallel Reading Comprehension Dataset in 122 Language Variants</t>
  </si>
  <si>
    <t>http://dx.doi.org/10.18653/v1/2024.acl-long.44</t>
  </si>
  <si>
    <t>Pearl, Judea and Mackenzie, Dana</t>
  </si>
  <si>
    <t>URL: \url{http://cdar.berkeley.edu/wp-content/uploads/2017/04/Lisa-Goldberg-reviews-The-Book-of-Why.pdf}</t>
  </si>
  <si>
    <t>Basic Books</t>
  </si>
  <si>
    <t>The {B}ook of {W}hy: the {N}ew {S}cience of {C}ause and {E}ffect</t>
  </si>
  <si>
    <t>Simone Borsci and Alessio Malizia and Martin Schmettow and Frank Van Der Velde and Gunay Tariverdiyeva and Divyaa Balaji and Alan Chamberlain</t>
  </si>
  <si>
    <t>Personal and ubiquitous computing</t>
  </si>
  <si>
    <t>95--119</t>
  </si>
  <si>
    <t>{The chatbot usability scale: the design and pilot of a usability scale for interaction with AI-based conversational agents}</t>
  </si>
  <si>
    <t>Ilia Shumailov and Zakhar Shumaylov and Yiren Zhao and Yarin Gal and Nicolas Papernot and Ross Anderson</t>
  </si>
  <si>
    <t>The Curse of Recursion: Training on Generated Data Makes Models Forget</t>
  </si>
  <si>
    <t>https://arxiv.org/abs/2305.17493</t>
  </si>
  <si>
    <t>Patrick Hall</t>
  </si>
  <si>
    <t>URL: \url{https://opendatascience.com/the-data-scientific-method-vs-the-scientific-method/}</t>
  </si>
  <si>
    <t>Open Data Science Conference</t>
  </si>
  <si>
    <t>{T}he {D}ata {S}cientific {M}ethod vs. {T}he {S}cientific {M}ethod</t>
  </si>
  <si>
    <t>Holland, Sarah and Hosny, Ahmed and Newman, Sarah and Joseph, Joshua and Chmielinski, Kasia</t>
  </si>
  <si>
    <t>Data Protection and Privacy</t>
  </si>
  <si>
    <t>Hart Publishing</t>
  </si>
  <si>
    <t>{The Dataset Nutrition Label}</t>
  </si>
  <si>
    <t>https://arxiv.org/pdf/1805.03677</t>
  </si>
  <si>
    <t>\textit{The Elements of Statistical Learning}</t>
  </si>
  <si>
    <t>URL: \url{https://web.stanford.edu/~hastie/ElemStatLearn/printings/ESLII\_print12.pdf}</t>
  </si>
  <si>
    <t>The Elements of Statistical Learning</t>
  </si>
  <si>
    <t>Hall, Patrick and Phan, Wen and Whitson, Katie</t>
  </si>
  <si>
    <t>URL: \url{https://pdfs.semanticscholar.org/cc62/c04074334d1d39b1c9f6a47b1ada99858529.pdf}</t>
  </si>
  <si>
    <t>The Evolution of {A}nalytics</t>
  </si>
  <si>
    <t>Raji, Inioluwa Deborah and Kumar, I Elizabeth and Horowitz, Aaron and Selbst, Andrew</t>
  </si>
  <si>
    <t>959--972</t>
  </si>
  <si>
    <t>The fallacy of AI functionality</t>
  </si>
  <si>
    <t>Darnell, Dan and Coss, Rafael and Hall, Patrick</t>
  </si>
  <si>
    <t>URL: \url{http://info.h2o.ai/rs/644-PKX-778/images/OReilly-The-Future-of-Analytics-eBook.pdf}</t>
  </si>
  <si>
    <t>The {F}uture of {A}nalytics: The {N}ew {L}andscape of {A}rtificial {I}ntelligence and {M}achine {L}earning {A}pplications</t>
  </si>
  <si>
    <t>Wilkinson, Leland</t>
  </si>
  <si>
    <t>The {G}rammar of {G}raphics</t>
  </si>
  <si>
    <t>{Microsoft Research}</t>
  </si>
  <si>
    <t>\url{https://www.microsoft.com/en-us/research/project/hax-toolkit/}</t>
  </si>
  <si>
    <t>accessed April 9, 2026</t>
  </si>
  <si>
    <t>{The {HAX} Toolkit Project: The Human-AI eXperience ({HAX}) Toolkit}</t>
  </si>
  <si>
    <t>{Defense Advanced Research Projects Agency}</t>
  </si>
  <si>
    <t>\url{https://www.darpa.mil/about/heilmeier-catechism}</t>
  </si>
  <si>
    <t>Accessed: May 1, 2026</t>
  </si>
  <si>
    <t>The {H}eilmeier {C}atechism</t>
  </si>
  <si>
    <t>n.d.</t>
  </si>
  <si>
    <t>Nathan Lambert and Thomas Krendl Gilbert and Tom Zick</t>
  </si>
  <si>
    <t>The History and Risks of Reinforcement Learning and Human Feedback</t>
  </si>
  <si>
    <t>https://arxiv.org/abs/2310.13595</t>
  </si>
  <si>
    <t>Alice Qian Zhang and Ryland Shaw and Jacy Reese Anthis and Ashlee Milton and Emily Tseng and Jina Suh and Lama Ahmad and Ram Shankar Siva Kumar and Julian Posada and Benjamin Shestakofsky and Sarah T. Roberts and Mary L. Gray</t>
  </si>
  <si>
    <t>https://doi.org/10.1145/3678884.3687147</t>
  </si>
  <si>
    <t>The Human Factor in AI Red Teaming: Perspectives from Social and Collaborative Computing</t>
  </si>
  <si>
    <t>https://arxiv.org/abs/2407.07786</t>
  </si>
  <si>
    <t>Kathryn Bonney and Cory Breaux and Catherine Buffington and Emin Dinlersoz and Lucia Foster and Nathan Goldschlag and John Haltiwanger and Zachary Kroff and Keith Savage</t>
  </si>
  <si>
    <t>https://doi.org/10.1016/j.econlet.2024.111971</t>
  </si>
  <si>
    <t>0165-1765</t>
  </si>
  <si>
    <t>Economics Letters</t>
  </si>
  <si>
    <t>Artificial Intelligence, Technology adoption, Firm performance, Task replacement, Labor substitution, Technology and employment</t>
  </si>
  <si>
    <t>The impact of AI on the workforce: Tasks versus jobs?</t>
  </si>
  <si>
    <t>https://www.sciencedirect.com/science/article/pii/S0165176524004555</t>
  </si>
  <si>
    <t>Atherton, Daniel and Schwartz, Reva and Fontana, Peter and Hall, Patrick</t>
  </si>
  <si>
    <t>URL: \url{https://airc.nist.gov/AI_RMF_Knowledge_Base/Glossary}</t>
  </si>
  <si>
    <t>The {L}anguage of {T}rustworthy {AI}: {A}n {I}n-{D}epth {G}lossary of {T}erms</t>
  </si>
  <si>
    <t>Shivalika Singh and Yiyang Nan and Alex Wang and Daniel D'Souza and Sayash Kapoor and Ahmet Üstün and Sanmi Koyejo and Yuntian Deng and Shayne Longpre and Noah Smith and Beyza Ermis and Marzieh Fadaee and Sara Hooker</t>
  </si>
  <si>
    <t>The Leaderboard Illusion</t>
  </si>
  <si>
    <t>https://arxiv.org/abs/2504.20879</t>
  </si>
  <si>
    <t>Popper, Karl</t>
  </si>
  <si>
    <t>The logic of scientific discovery</t>
  </si>
  <si>
    <t>LeCun, Yann and Cortes, Corinna and Burgres, Christopher J.C</t>
  </si>
  <si>
    <t>http://yann.lecun.com/exdb/mnist/</t>
  </si>
  <si>
    <t>The MNIST Database Of Handwritten Digits</t>
  </si>
  <si>
    <t>Menze, Bjoern H and Jakab, Andras and Bauer, Stefan and Kalpathy-Cramer, Jayashree and Farahani, Keyvan and Kirby, Justin and Burren, Yuliya and Porz, Nicole and Slotboom, Johannes and Wiest, Roland and others</t>
  </si>
  <si>
    <t>IEEE transactions on medical imaging</t>
  </si>
  <si>
    <t>1993--2024</t>
  </si>
  <si>
    <t>{The multimodal brain tumor image segmentation benchmark (BRATS)}</t>
  </si>
  <si>
    <t>Lipton, Zachary C.</t>
  </si>
  <si>
    <t>arXiv preprint arXiv:1606.03490</t>
  </si>
  <si>
    <t>URL: \url{https://arxiv.org/pdf/1606.03490.pdf}</t>
  </si>
  <si>
    <t>The {M}ythos of {M}odel {I}nterpretability</t>
  </si>
  <si>
    <t>Centola, D.</t>
  </si>
  <si>
    <t>Trends in Cognitive Sciences</t>
  </si>
  <si>
    <t>923--941</t>
  </si>
  <si>
    <t>The network science of collective intelligence</t>
  </si>
  <si>
    <t>https://pubmed.ncbi.nlm.nih.gov/36180361/</t>
  </si>
  <si>
    <t>Reva Schwartz and Jonathan Fiscus and Kristen Greene and Gabriella Waters and Rumman Chowdhury and Theodore Jensen and Craig Greenberg and Afzal Godil and Razvan Amironesei and Patrick Hall and Shomik Jain</t>
  </si>
  <si>
    <t>\url{https://ai-challenges.nist.gov/aria/docs/evaluation_plan.pdf}</t>
  </si>
  <si>
    <t>The NIST Assessing Risks and Impacts of AI (ARIA) Pilot Evaluation Plan</t>
  </si>
  <si>
    <t>URL: \url{https://www.oreilly.com/ideas/the-preoccupation-with-test-error-in-applied-machine-learning}</t>
  </si>
  <si>
    <t>The {P}reoccupation with {T}est {E}rror in {A}pplied {M}achine {L}earning</t>
  </si>
  <si>
    <t>Cedric E. Dawkins</t>
  </si>
  <si>
    <t>10.1007/s10551-013-1697-z</t>
  </si>
  <si>
    <t>J Bus Ethics</t>
  </si>
  <si>
    <t>283-295</t>
  </si>
  <si>
    <t>The Principle of Good Faith: Toward Substantive Stakeholder Engagement.</t>
  </si>
  <si>
    <t>Kendall, Maurice G. and Smith, B. Babington</t>
  </si>
  <si>
    <t>The Annals of Mathematical Statistics</t>
  </si>
  <si>
    <t>275--287</t>
  </si>
  <si>
    <t>The problem of m rankings</t>
  </si>
  <si>
    <t>https://doi.org/10.1214/aoms/1177732186</t>
  </si>
  <si>
    <t>Max Korbmacher et al</t>
  </si>
  <si>
    <t>10.1038/s44271-023-00003-2</t>
  </si>
  <si>
    <t>Communications Psychology</t>
  </si>
  <si>
    <t>The replication crisis has led to positive structural, procedural, and community changes</t>
  </si>
  <si>
    <t>Deskill may occur due to reliance on artificial intelligence (AI) technologies.</t>
  </si>
  <si>
    <t>NHS England {\textbar} Workforce, training and education {\textbar} Digital Transformation</t>
  </si>
  <si>
    <t>{The} risk of deskilling--{Workforce}, training and education--{NHS} {England}</t>
  </si>
  <si>
    <t>https://digital-transformation.hee.nhs.uk/building-a-digital-workforce/dart-ed/horizon-scanning/developing-healthcare-workers-confidence-in-ai/chapter-4-workforce-transformation/the-risk-of-deskilling</t>
  </si>
  <si>
    <t>Barreno, Marco and Nelson, Blaine and Joseph, Anthony D and Tygar, J Doug</t>
  </si>
  <si>
    <t>URL: \url{https://people.eecs.berkeley.edu/~adj/publications/paper-files/SecML-MLJ2010.pdf}</t>
  </si>
  <si>
    <t>121--148</t>
  </si>
  <si>
    <t>The {S}ecurity of {M}achine {L}earning</t>
  </si>
  <si>
    <t>Shapley, Lloyd S. and Roth, Alvin E. and others</t>
  </si>
  <si>
    <t>URL: \url{http://www.library.fa.ru/files/Roth2.pdf}</t>
  </si>
  <si>
    <t>The Shapley {V}alue: {E}ssays in {H}onor of {L}loyd {S}. {S}hapley</t>
  </si>
  <si>
    <t>Acemoglu, Daron</t>
  </si>
  <si>
    <t>10.3386/w32487</t>
  </si>
  <si>
    <t>National Bureau of Economic Research</t>
  </si>
  <si>
    <t>Working Paper Series</t>
  </si>
  <si>
    <t>The Simple Macroeconomics of AI</t>
  </si>
  <si>
    <t>Working Paper</t>
  </si>
  <si>
    <t>http://www.nber.org/papers/w32487</t>
  </si>
  <si>
    <t>Strauss, Ilan and Moure, Isobel and O’Reilly, Tim and Rosenblat, Sruly</t>
  </si>
  <si>
    <t>10.35650/aidp.4112.d.2025</t>
  </si>
  <si>
    <t>AI Disclosures Project, Social Science Research Council</t>
  </si>
  <si>
    <t>The State of AI Governance Research: AI Safety and Reliability in Real World Commercial Deployment</t>
  </si>
  <si>
    <t>http://dx.doi.org/10.35650/AIDP.4112.d.2025</t>
  </si>
  <si>
    <t>Kuhn, Thomas S. and Hacking, Ian</t>
  </si>
  <si>
    <t>University of Chicago Press</t>
  </si>
  <si>
    <t>{The Structure of Scientific Revolutions}</t>
  </si>
  <si>
    <t>Nathaniel Li and Alexander Pan and Anjali Gopal and Summer Yue and Daniel Berrios and Alice Gatti and Justin D. Li and Ann-Kathrin Dombrowski and Shashwat Goel and Long Phan and Gabriel Mukobi and Nathan Helm-Burger and Rassin Lababidi and Lennart Justen and Andrew B. Liu and Michael Chen and Isabelle Barrass and Oliver Zhang and Xiaoyuan Zhu and Rishub Tamirisa and Bhrugu Bharathi and Adam Khoja and Zhenqi Zhao and Ariel Herbert-Voss and Cort B. Breuer and Samuel Marks and Oam Patel and Andy Zou and Mantas Mazeika and Zifan Wang and Palash Oswal and Weiran Lin and Adam A. Hunt and Justin Tienken-Harder and Kevin Y. Shih and Kemper Talley and John Guan and Russell Kaplan and Ian Steneker and David Campbell and Brad Jokubaitis and Alex Levinson and Jean Wang and William Qian and Kallol Krishna Karmakar and Steven Basart and Stephen Fitz and Mindy Levine and Ponnurangam Kumaraguru and Uday Tupakula and Vijay Varadharajan and Ruoyu Wang and Yan Shoshitaishvili and Jimmy Ba and Kevin M. Esvelt and Alexandr Wang and Dan Hendrycks</t>
  </si>
  <si>
    <t>The WMDP Benchmark: Measuring and Reducing Malicious Use With Unlearning</t>
  </si>
  <si>
    <t>https://arxiv.org/abs/2403.03218</t>
  </si>
  <si>
    <t>Chaofan Chen and Oscar Li and Alina Barnett and Jonathan Su and Cynthia Rudin</t>
  </si>
  <si>
    <t>Proceedings of Neural Information Processing Systems {(NeurIPS)}</t>
  </si>
  <si>
    <t>URL: \url{https://arxiv.org/pdf/1806.10574.pdf}</t>
  </si>
  <si>
    <t>{T}his {L}ooks {L}ike {T}hat: {D}eep {L}earning for {I}nterpretable {I}mage {R}ecognition</t>
  </si>
  <si>
    <t>Calders, Toon and Verwer, Sicco</t>
  </si>
  <si>
    <t>Data Mining and Knowledge Discovery</t>
  </si>
  <si>
    <t>URL: \url{https://link.springer.com/content/pdf/10.1007/s10618-010-0190-x.pdf}</t>
  </si>
  <si>
    <t>277--292</t>
  </si>
  <si>
    <t>Three {N}a\"{i}ve {B}ayes {A}pproaches for {D}iscrimination-free {C}lassification</t>
  </si>
  <si>
    <t>Madaio, Michael A. and Chen, Jingya and Wallach, Hanna and Wortman Vaughan, Jennifer</t>
  </si>
  <si>
    <t>10.1145/3653705</t>
  </si>
  <si>
    <t>articulation work, ethics, fairness, responsible ai</t>
  </si>
  <si>
    <t>CSCW1</t>
  </si>
  <si>
    <t>Tinker, Tailor, Configure, Customize: The Articulation Work of Contextualizing an AI Fairness Checklist</t>
  </si>
  <si>
    <t>https://doi.org/10.1145/3653705</t>
  </si>
  <si>
    <t>Laura Weidinger and Inioluwa Deborah Raji and Hanna Wallach and Margaret Mitchell and Angelina Wang and Olawale Salaudeen and Rishi Bommasani and Deep Ganguli and Sanmi Koyejo and William Isaac</t>
  </si>
  <si>
    <t>Toward an Evaluation Science for Generative AI Systems</t>
  </si>
  <si>
    <t>https://arxiv.org/abs/2503.05336</t>
  </si>
  <si>
    <t>Anna A. Ivanova</t>
  </si>
  <si>
    <t>Toward best research practices in AI Psychology</t>
  </si>
  <si>
    <t>https://arxiv.org/abs/2312.01276</t>
  </si>
  <si>
    <t>Miles Brundage and Shahar Avin and Jasmine Wang and Haydn Belfield and Gretchen Krueger and Gillian Hadfield and Heidy Khlaaf and Jingying Yang and Helen Toner and Ruth Fong and Tegan Maharaj and Pang Wei Koh and Sara Hooker and Jade Leung and Andrew Trask and Emma Bluemke and Jonathan Lebensold and Cullen O'Keefe and Mark Koren and Théo Ryffel and JB Rubinovitz and Tamay Besiroglu and Federica Carugati and Jack Clark and Peter Eckersley and Sarah de Haas and Maritza Johnson and Ben Laurie and Alex Ingerman and Igor Krawczuk and Amanda Askell and Rosario Cammarota and Andrew Lohn and David Krueger and Charlotte Stix and Peter Henderson and Logan Graham and Carina Prunkl and Bianca Martin and Elizabeth Seger and Noa Zilberman and Seán Éigeartaigh and Frens Kroeger and Girish Sastry and Rebecca Kagan and Adrian Weller and Brian Tse and Elizabeth Barnes and Allan Dafoe and Paul Scharre and Ariel Herbert-Voss and Martijn Rasser and Shagun Sodhani and Carrick Flynn and Thomas Krendl Gilbert and Lisa Dyer and Saif Khan and Yoshua Bengio and Markus Anderljung</t>
  </si>
  <si>
    <t>Toward Trustworthy AI Development: Mechanisms for Supporting Verifiable Claims</t>
  </si>
  <si>
    <t>https://arxiv.org/abs/2004.07213</t>
  </si>
  <si>
    <t>OECD</t>
  </si>
  <si>
    <t>{Towards a Common Reporting Framework for AI Incidents}</t>
  </si>
  <si>
    <t>https://www.oecd.org/content/dam/oecd/en/publications/reports/2025/02/towards-a-common-reporting-framework-for-ai-incidents_8c488fdb/f326d4ac-en.pdf</t>
  </si>
  <si>
    <t>Finale Doshi-Velez and Been Kim</t>
  </si>
  <si>
    <t>arXiv preprint arXiv:1702.08608</t>
  </si>
  <si>
    <t>Towards a {R}igorous {S}cience of {I}nterpretable {M}achine {L}earning</t>
  </si>
  <si>
    <t>https://arxiv.org/pdf/1702.08608.pdf</t>
  </si>
  <si>
    <t>Schwartz, Reva and Vassilev, Apostol and Greene, Kristen and Perine, Lori and Burt, Andrew and Hall, Patrick</t>
  </si>
  <si>
    <t>https://doi.org/10.6028/NIST.SP.1270</t>
  </si>
  <si>
    <t>NIST Special Publication</t>
  </si>
  <si>
    <t>1--77</t>
  </si>
  <si>
    <t>Towards a {S}tandard for {I}dentifying and {M}anaging {B}ias in {A}rtificial {I}ntelligence</t>
  </si>
  <si>
    <t>Conmy, Arthur and Mavor-Parker, Augustine and Lynch, Aengus and Heimersheim, Stefan and Garriga-Alonso, Adri{\`a}</t>
  </si>
  <si>
    <t>16318--16352</t>
  </si>
  <si>
    <t>{Towards automated circuit discovery for mechanistic interpretability}</t>
  </si>
  <si>
    <t>Ancona, Marco and Ceolini, Enea and Oztireli, Cengiz and Gross, Markus</t>
  </si>
  <si>
    <t>6th International Conference on Learning Representations (ICLR 2018)</t>
  </si>
  <si>
    <t>URL: \url{https://www.research-collection.ethz.ch/bitstream/handle/20.500.11850/249929/Flow_ICLR_2018.pdf}</t>
  </si>
  <si>
    <t>Towards {B}etter {U}nderstanding of {G}radient-based {A}ttribution {M}ethods for {D}eep {N}eural {N}etworks</t>
  </si>
  <si>
    <t>Hunter, Anthony and Chalaguine, Lisa and Czernuszenko, Tomasz and Hadoux, Emmanuel and Polberg, Sylwia</t>
  </si>
  <si>
    <t>KI 2019: Advances in Artificial Intelligence: 42nd German Conference on AI, Kassel, Germany, September 23--26, 2019, Proceedings 42</t>
  </si>
  <si>
    <t>18--33</t>
  </si>
  <si>
    <t>Towards computational persuasion via natural language argumentation dialogues</t>
  </si>
  <si>
    <t>Bai, Y. and others</t>
  </si>
  <si>
    <t>Training a Helpful and Harmless Assistant with Reinforcement Learning from Human Feedback</t>
  </si>
  <si>
    <t>https://arxiv.org/abs/2204.05862</t>
  </si>
  <si>
    <t>Anay Mehrotra and Manolis Zampetakis and Paul Kassianik and Blaine Nelson and Hyrum Anderson and Yaron Singer and Amin Karbasi</t>
  </si>
  <si>
    <t>Tree of Attacks: Jailbreaking Black-Box LLMs Automatically</t>
  </si>
  <si>
    <t>https://arxiv.org/abs/2312.02119</t>
  </si>
  <si>
    <t>Shneiderman, Ben</t>
  </si>
  <si>
    <t>ACM Transactions on Graphics (TOG)</t>
  </si>
  <si>
    <t>92--99</t>
  </si>
  <si>
    <t>{Tree Visualization with Tree-maps: 2-d Space-filling Approach}</t>
  </si>
  <si>
    <t>https://dl.acm.org/doi/abs/10.1145/102377.115768</t>
  </si>
  <si>
    <t>Gillespie, Nicole and Lockey, Steven and Ward, Tabi and Macdade, Alexandria and Hassed, Gerard</t>
  </si>
  <si>
    <t>10.26188/28822919</t>
  </si>
  <si>
    <t>paper</t>
  </si>
  <si>
    <t>The University of Melbourne</t>
  </si>
  <si>
    <t>Creative Commons Attribution Non Commercial Share Alike 4.0 International</t>
  </si>
  <si>
    <t>Trust, attitudes and use of artificial intelligence: A global study 2025</t>
  </si>
  <si>
    <t>https://figshare.unimelb.edu.au/articles/report/Trust_attitudes_and_use_of_artificial_intelligence_A_global_study_2025/28822919</t>
  </si>
  <si>
    <t>Adversa.ai</t>
  </si>
  <si>
    <t>"ADMIN"</t>
  </si>
  <si>
    <t>{T}rusted {AI} {B}log (Series)</t>
  </si>
  <si>
    <t>https://adversa.ai/topic/trusted-ai-blog/</t>
  </si>
  <si>
    <t>2022-2023</t>
  </si>
  <si>
    <t>ISO/IEC TS 5723:2022</t>
  </si>
  <si>
    <t>{Trustworthiness — Vocabulary}</t>
  </si>
  <si>
    <t>https://www.iso.org/standard/81608.html</t>
  </si>
  <si>
    <t>Lin, Stephanie and Hilton, Jacob and Evans, Owain</t>
  </si>
  <si>
    <t>3214--3252</t>
  </si>
  <si>
    <t>{TruthfulQA: Measuring How Models Mimic Human Falsehoods}</t>
  </si>
  <si>
    <t>https://aclanthology.org/2022.acl-long.229.pdf</t>
  </si>
  <si>
    <t>Arvind Narayanan</t>
  </si>
  <si>
    <t>ACM FAccT 2018 Tutorial (YouTube video</t>
  </si>
  <si>
    <t>{Tutorial: 21 Fairness Definitions and Their Politics}</t>
  </si>
  <si>
    <t>https://www.youtube.com/watch?v=jIXIuYdnyyk</t>
  </si>
  <si>
    <t>R{\"o}ttger, Paul and Vidgen, Bertie and Hovy, Dirk and Pierrehumbert, Janet</t>
  </si>
  <si>
    <t>Proceedings of the 2022 Conference of the North American Chapter of the Association for Computational Linguistics: Human Language Technologies</t>
  </si>
  <si>
    <t>175--190</t>
  </si>
  <si>
    <t>{Two Contrasting Data Annotation Paradigms for Subjective NLP Tasks}</t>
  </si>
  <si>
    <t>Parker, Luona Lin and Kim</t>
  </si>
  <si>
    <t>U.S. Workers Are More Worried Than Hopeful About Future AI Use in the Workplace</t>
  </si>
  <si>
    <t>https://www.pewresearch.org/social-trends/2025/02/25/u-s-workers-are-more-worried-than-hopeful-about-future-ai-use-in-the-workplace/</t>
  </si>
  <si>
    <t>M. Lichman</t>
  </si>
  <si>
    <t>University of California, Irvine, School of Information and Computer Sciences</t>
  </si>
  <si>
    <t>{UCI} Machine Learning Repository</t>
  </si>
  <si>
    <t>http://archive.ics.uci.edu/ml</t>
  </si>
  <si>
    <t>Van Engelen, Debra L. and Suljak, Steven W. and Hall, Patrick and Holmes, Bert E.</t>
  </si>
  <si>
    <t>Journal of Chemical Education</t>
  </si>
  <si>
    <t>URL: \url{https://pubs.acs.org/doi/pdf/10.1021/ed084p128}</t>
  </si>
  <si>
    <t>{U}ndergraduate {I}ntroductory {Q}uantitative {C}hemistry {L}aboratory {C}ourse: {I}nterdisciplinary {G}roup {P}rojects in {P}hytoremediation</t>
  </si>
  <si>
    <t>D'Amour, A. and others</t>
  </si>
  <si>
    <t>10.48550/arXiv.2011.03395</t>
  </si>
  <si>
    <t>1--61</t>
  </si>
  <si>
    <t>Underspecification presents challenges for credibility in modern machine learning</t>
  </si>
  <si>
    <t>https://doi.org/10.48550/arXiv.2011.03395</t>
  </si>
  <si>
    <t>T. J. Maloney</t>
  </si>
  <si>
    <t>38th Electrical Overstress/Electrostatic Discharge Symposium (EOS/ESD)</t>
  </si>
  <si>
    <t>10.1109/EOSESD.2016.7592562</t>
  </si>
  <si>
    <t>electrostatic discharge;heat sinks;heat transfer;integrated circuit modelling;1-D pulsed heating;Dwyer curve;Wunsch-Bell relation;heat flow;power-to-fail curves;Analytical models;Convolution;Heat sinks;Impedance;Resistance heating;Steady-state</t>
  </si>
  <si>
    <t>Sept</t>
  </si>
  <si>
    <t>Publisher name, location</t>
  </si>
  <si>
    <t>Unified model of 1-D pulsed heating, combining Wunsch-Bell with the Dwyer curve: This paper is co-copyrighted by Intel Corporation and the ESD association</t>
  </si>
  <si>
    <t>Hall, Patrick and Kurka, Megan and Bartz, Angela</t>
  </si>
  <si>
    <t>URL: \url{http://docs.h2o.ai/driverless-ai/latest-lts/docs/booklets/DriverlessAIBooklet.pdf}</t>
  </si>
  <si>
    <t>Using {H}{2}{O} {D}riverless {A}{I}</t>
  </si>
  <si>
    <t>Using publicly available information to proxy for unidentified race and ethnicity</t>
  </si>
  <si>
    <t>https://files.consumerfinance.gov/f/201409_cfpb_report_proxy-methodology.pdf</t>
  </si>
  <si>
    <t>Hutto, Clayton and Gilbert, Eric</t>
  </si>
  <si>
    <t>Proceedings of the International AAAI Conference on Web and Social Media</t>
  </si>
  <si>
    <t>216--225</t>
  </si>
  <si>
    <t>{VADER: A Parsimonious Rule-based Model for Sentiment Analysis of Social Media Text}</t>
  </si>
  <si>
    <t>https://ojs.aaai.org/index.php/icwsm/article/view/14550</t>
  </si>
  <si>
    <t>Messick, Samuel</t>
  </si>
  <si>
    <t>ETS Research Report Series</t>
  </si>
  <si>
    <t>i--208</t>
  </si>
  <si>
    <t>Validity</t>
  </si>
  <si>
    <t>Friedman, Batya and Kahn, Peter and Borning, Alan</t>
  </si>
  <si>
    <t>UW CSE Technical Report</t>
  </si>
  <si>
    <t>Value Sensitive Design: Theory and Methods</t>
  </si>
  <si>
    <t>Zech, John R. and Badgeley, Marcus A. and Liu, Manway and Costa, Anthony B. and Titano, Joseph J. and Oermann, Eric Karl</t>
  </si>
  <si>
    <t>PLoS medicine</t>
  </si>
  <si>
    <t>e1002683</t>
  </si>
  <si>
    <t>Public Library of Science</t>
  </si>
  <si>
    <t>{Variable Generalization Performance of a Deep Learning Model to Detect Pneumonia in Chest Radiographs: A cross-sectional study}</t>
  </si>
  <si>
    <t>https://journals.plos.org/plosmedicine/article?id=10.1371/journal.pmed.1002683</t>
  </si>
  <si>
    <t>Bastani, Osbert and Pu, Yewen and Solar-Lezama, Armando</t>
  </si>
  <si>
    <t>URL: \url{http://papers.nips.cc/paper/7516-verifiable-reinforcement-learning-via-policy-extraction.pdf}</t>
  </si>
  <si>
    <t>2494--2504</t>
  </si>
  <si>
    <t>Verifiable {R}einforcement {L}earning {V}ia {P}olicy {E}xtraction</t>
  </si>
  <si>
    <t>Simonyan, Karen and Zisserman, Andrew</t>
  </si>
  <si>
    <t>Very Deep Convolutional Networks for Large-Scale Image Recognition</t>
  </si>
  <si>
    <t>https://arxiv.org/pdf/1409.1556</t>
  </si>
  <si>
    <t>IEEE Transactions on Visualization \&amp; Computer Graphics</t>
  </si>
  <si>
    <t>URL: \url{https://www.cs.uic.edu/~wilkinson/Publications/outliers.pdf}</t>
  </si>
  <si>
    <t>Visualizing Big Data Outliers through Distributed Aggregation</t>
  </si>
  <si>
    <t>Apley, Daniel W.</t>
  </si>
  <si>
    <t>arXiv preprint arXiv:1612.08468</t>
  </si>
  <si>
    <t>URL: \url{https://arxiv.org/pdf/1612.08468.pdf}</t>
  </si>
  <si>
    <t>Visualizing the {E}ffects of {P}redictor {V}ariables in {B}lack {B}ox {S}upervised {L}earning {M}odels</t>
  </si>
  <si>
    <t>Stalla-Bourdillon, Sophie and Leong, Brenda and Hall, Patrick and Burt, Andrew</t>
  </si>
  <si>
    <t>URL: \url{https://fpf.org/wp-content/uploads/2019/09/FPF_WarningSigns_Report.pdf}</t>
  </si>
  <si>
    <t>Future of Privacy Foundation</t>
  </si>
  <si>
    <t>Warning {S}igns: {P}rivacy and {S}ecurity in an {A}ge of {M}achine {L}earning</t>
  </si>
  <si>
    <t>Burt, Andrew and Hall, Patrick</t>
  </si>
  <si>
    <t>URL: \url{https://www.oreilly.com/radar/what-to-do-when-ai-fails/}</t>
  </si>
  <si>
    <t>What to Do When AI Fails</t>
  </si>
  <si>
    <t>URL: \url{https://www.oreilly.com/radar/what-we-learned-auditing-sophisticated-ai-for-bias/}</t>
  </si>
  <si>
    <t>{W}hat {W}e {L}earned {A}uditing {S}ophisticated {AI} for {B}ias</t>
  </si>
  <si>
    <t>Pendse, Sachin R. and Gergle, Darren and Kornfield, Rachel and Meyerhoff, Jonah and Mohr, David and Suh, Jina and Wescott, Annie and Williams, Casey and Schleider, Jessica</t>
  </si>
  <si>
    <t>Proceedings of the 2025 ACM Conference on Fairness, Accountability, and Transparency</t>
  </si>
  <si>
    <t>1793--1804</t>
  </si>
  <si>
    <t>When testing {AI} tests us: {S}afeguarding mental health on the digital frontlines</t>
  </si>
  <si>
    <t>Kunal Handa and Alex Tamkin and Miles McCain and Saffron Huang and Esin Durmus and Sarah Heck and Jared Mueller and Jerry Hong and Stuart Ritchie and Tim Belonax and Kevin K. Troy and Dario Amodei and Jared Kaplan and Jack Clark and Deep Ganguli</t>
  </si>
  <si>
    <t>Which Economic Tasks are Performed with AI? Evidence from Millions of Claude Conversations</t>
  </si>
  <si>
    <t>https://arxiv.org/abs/2503.04761</t>
  </si>
  <si>
    <t>Mohammad Atari and Mona J. Xue and Peter S. Park and Dami{\'a}n E. Blasi and Joseph Henrich</t>
  </si>
  <si>
    <t>eng</t>
  </si>
  <si>
    <t>Which Humans?</t>
  </si>
  <si>
    <t>This white paper describes extensions to our work on the
Synchronization Units Model (Szumo) to address the
access-control problem in systems assembled dynamically from
trusted and untrusted components. Our extension employs
explicitly declared design contracts, the semantics of which
are founded on Landwehr's model of fences and gates.</t>
  </si>
  <si>
    <t>East Lansing, Michigan</t>
  </si>
  <si>
    <t>R. Behrends and L. K. Dillon and S. D. Fleming and
R. E. K. Stirewalt</t>
  </si>
  <si>
    <t>kel@wondering-jons.com</t>
  </si>
  <si>
    <t>http://www.poker-ping.info</t>
  </si>
  <si>
    <t>Poker Ping</t>
  </si>
  <si>
    <t>Sle</t>
  </si>
  <si>
    <t>stire@cse.msu.edu</t>
  </si>
  <si>
    <t>/user/web/htdocs/publications/tech/TR/MSU-CSE-06-2.ps</t>
  </si>
  <si>
    <t>Department of Computer Science, Michigan State University</t>
  </si>
  <si>
    <t>access control, security, contracts, Szumo</t>
  </si>
  <si>
    <t>MSU-CSE-06-2</t>
  </si>
  <si>
    <t>White paper: Programming according to the fences and gates
model for developing assured, secure software
systems</t>
  </si>
  <si>
    <t>Marco Tulio Ribeiro and Sameer Singh and Carlos Guestrin</t>
  </si>
  <si>
    <t>Proceedings of the 22nd ACM SIGKDD International Conference on Knowledge Discovery and Data Mining</t>
  </si>
  <si>
    <t>1135--1144</t>
  </si>
  <si>
    <t>Why should {I} trust you?: {E}xplaining the predictions of any classifier</t>
  </si>
  <si>
    <t>http://www.kdd.org/kdd2016/papers/files/rfp0573-ribeiroA.pdf</t>
  </si>
  <si>
    <t>Turri, Violet and Dzombak, Rachel</t>
  </si>
  <si>
    <t>576--583</t>
  </si>
  <si>
    <t>Why we need to know more: Exploring the state of AI incident documentation practices</t>
  </si>
  <si>
    <t>Hall, Patrick and Andrew Burt</t>
  </si>
  <si>
    <t>URL: \url{https://www.oreilly.com/radar/why-you-should-care-about-debugging-machine-learning-models/}</t>
  </si>
  <si>
    <t>Why {Y}ou {S}hould {C}are {A}bout {D}ebugging {M}achine {L}earning {M}odels</t>
  </si>
  <si>
    <t>Purpose
To investigate attitudes and perspectives on the use of artificial intelligence (AI) in the assessment of screening mammograms among women invited to BreastScreen Norway.
Method
An anonymous survey was sent to all women invited to BreastScreen Norway during the study period, October 10, 2022, to December 25, 2022 (n = 84,543). Questions were answered on a 10-point Likert scale and as multiple-choice, addressing knowledge of AI, willingness to participate in AI studies, information needs, confidence in AI results and AI assisted reading strategies, and thoughts on concerns and benefits of AI in mammography screening. Analyses were performed using χ2 and logistic regression tests.
Results
General knowledge of AI was reported as extensive by 11.0\% of the 8,355 respondents. Respondents were willing to participate in studies using AI either for decision support (64.0\%) or triaging (54.9\%). Being informed about use of AI-assisted image assessment was considered important, and a reading strategy of AI in combination with one radiologist preferred. Having extensive knowledge of AI was associated with willingness to participate in AI studies (decision support; odds ratio [OR]: 5.1, 95\% confidence interval [CI]: 4.1–6.4, and triaging; OR: 3.4, 95\% CI: 2.8–4.0) and trust in AI’s independent assessment (OR: 6.8, 95\% CI: 5.7, 8.3).
Conclusions
Women invited to BreastScreen Norway had a positive attitude towards the use of AI in image assessment, given that human readers are still involved. Targeted information and increased public knowledge of AI could help achieve high participation in AI studies and successful implementation of AI in mammography screening.</t>
  </si>
  <si>
    <t>Holen, Åsne Sørlien and Martiniussen, Marit Almenning and Bergan, Marie Burns and Moshina, Nataliia and Hovda, Tone and Hofvind, Solveig</t>
  </si>
  <si>
    <t>10.1016/j.ejrad.2024.111431</t>
  </si>
  <si>
    <t>Full Text PDF:C\:\\Users\\st3\\Zotero\\storage\\FHXAY5CN\\Holen et al. - 2024 - Women’s attitudes and perspectives on the use of a.pdf:application/pdf;ScienceDirect Snapshot:C\:\\Users\\st3\\Zotero\\storage\\NGLV4TBY\\S0720048X24001475.html:text/html</t>
  </si>
  <si>
    <t>0720-048X</t>
  </si>
  <si>
    <t>European Journal of Radiology</t>
  </si>
  <si>
    <t>Humans, Adult, Aged, Female, Middle Aged, Survey, Breast Neoplasms, Artificial intelligence, Artificial Intelligence, Mammography, Early Detection of Cancer, Breast neoplasms, Mass screening, Questionnaires, Health Knowledge, Attitudes, Practice, Mass Screening, Norway, Surveys and Questionnaires</t>
  </si>
  <si>
    <t>Women’s attitudes and perspectives on the use of artificial intelligence in the assessment of screening mammograms</t>
  </si>
  <si>
    <t>https://www.sciencedirect.com/science/article/pii/S0720048X24001475</t>
  </si>
  <si>
    <t>R{\""o}ttger, Paul and Kirk, Hannah and Vidgen, Bertie and Attanasio, Giuseppe and Bianchi, Federico and Hovy, Dirk</t>
  </si>
  <si>
    <t>Proceedings of the 2024 Conference of the North American Chapter of the Association for Computational Linguistics: Human Language Technologies (Volume 1: Long Papers)</t>
  </si>
  <si>
    <t>5377--5400</t>
  </si>
  <si>
    <t>Xstest: A test suite for identifying exaggerated safety behaviours in large language models</t>
  </si>
  <si>
    <t>https://arxiv.org/abs/2308.01263</t>
  </si>
  <si>
    <t>https://doi.org/10.1038/s41586-024-07856-5</t>
  </si>
  <si>
    <t>https://www.anthropic.com/rsp-updates</t>
  </si>
  <si>
    <t>https://doi.org/10.1037/h0031322</t>
  </si>
  <si>
    <t>https://aclanthology.org/P02-1040/</t>
  </si>
  <si>
    <t>https://doi.org/10.1177/20539517211065248</t>
  </si>
  <si>
    <t>https://onlinelibrary.wiley.com/doi/book/10.1002/9781119201731</t>
  </si>
  <si>
    <t>https://doi.org/10.1162/tacl_a_00449</t>
  </si>
  <si>
    <t>https://arxiv.org/abs/2005.00816</t>
  </si>
  <si>
    <t>https://pages.nist.gov/frvt/reports/quality/frvt_quality_report.pdf</t>
  </si>
  <si>
    <t>https://pages.nist.gov/frvt/reports/morph/frvt_morph_report.pdf</t>
  </si>
  <si>
    <t>https://www.penguinrandomhouse.com/books/743569/empire-of-ai-by-karen-hao/</t>
  </si>
  <si>
    <t>https://us.macmillan.com/books/9780374619329/enshittification/</t>
  </si>
  <si>
    <t>https://www.iso.org/standard/63500.html</t>
  </si>
  <si>
    <t>https://doi.org/10.6028/NIST.IR.6965</t>
  </si>
  <si>
    <t>https://doi.org/10.1145/3331184.3331380</t>
  </si>
  <si>
    <t>https://doi.org/10.1561/1500000079</t>
  </si>
  <si>
    <t>https://doi.org/10.1038/s41586-026-10303-2</t>
  </si>
  <si>
    <t>https://mlanthology.org/tmlr/2023/liang2023tmlr-holistic/</t>
  </si>
  <si>
    <t>https://arxiv.org/abs/2204.01438</t>
  </si>
  <si>
    <t>https://doi.org/10.1109/re.2012.6345838</t>
  </si>
  <si>
    <t>https://ieeexplore.ieee.org/document/11134780</t>
  </si>
  <si>
    <t>https://drops.dagstuhl.de/entities/document/10.4230/LIPIcs.ITCS.2017.43</t>
  </si>
  <si>
    <t>https://tamaraberg.com/papers/Huang_eccv2008-lfw.pdf</t>
  </si>
  <si>
    <t>https://arxiv.org/abs/2406.19314</t>
  </si>
  <si>
    <t>https://books.google.com/books/about/Management_Information_Systems.html?id=79SLQgAACAAJ</t>
  </si>
  <si>
    <t>https://openreview.net/forum?id=d7KBjmI3GmQ</t>
  </si>
  <si>
    <t>https://doi.org/10.1007/978-3-319-10602-1_48</t>
  </si>
  <si>
    <t>https://ntrs.nasa.gov/api/citations/20170001761/downloads/20170001761.pdf</t>
  </si>
  <si>
    <t>https://doi.org/10.1186/s13040-017-0154-4</t>
  </si>
  <si>
    <t>https://doi.org/10.1007/978-1-349-17295-5_4</t>
  </si>
  <si>
    <t>https://arxiv.org/abs/2505.18893</t>
  </si>
  <si>
    <t>https://doi.org/10.21437/icslp.1998-244</t>
  </si>
  <si>
    <t>https://www.sagepub.com/shop/buy-a-book/social-research-methods-2-233436</t>
  </si>
  <si>
    <t>https://usq.pressbooks.pub/socialscienceresearch/</t>
  </si>
  <si>
    <t>https://arxiv.org/abs/2303.12712</t>
  </si>
  <si>
    <t>https://www.iso.org/standard/71952.html</t>
  </si>
  <si>
    <t>https://arxiv.org/abs/2506.16791</t>
  </si>
  <si>
    <t>https://www.penguinrandomhouse.com/books/729231/the-anxious-generation-by-jonathan-haidt/</t>
  </si>
  <si>
    <t>https://doi.org/10.1007/s00779-021-01582-9</t>
  </si>
  <si>
    <t>https://doi.org/10.1109/TMI.2014.2377694</t>
  </si>
  <si>
    <t>https://press.uchicago.edu/ucp/books/book/chicago/S/bo13179781.html</t>
  </si>
  <si>
    <t>https://arxiv.org/abs/2304.14997</t>
  </si>
  <si>
    <t>https://aclanthology.org/2022.naacl-main.13/</t>
  </si>
  <si>
    <t>https://arxiv.org/abs/2407.01294</t>
  </si>
  <si>
    <t>https://doi.org/10.1145/3313831.3376718</t>
  </si>
  <si>
    <t>https://doi.org/10.1080/14639220701635470</t>
  </si>
  <si>
    <t>https://arxiv.org/abs/2010.12251</t>
  </si>
  <si>
    <t>https://doi.org/10.1145/3672758.3672824</t>
  </si>
  <si>
    <t>https://doi.org/10.1145/3641289</t>
  </si>
  <si>
    <t>https://doi.org/10.1016/j.jksues.2016.04.002</t>
  </si>
  <si>
    <t>https://arxiv.org/abs/2506.18133</t>
  </si>
  <si>
    <t>https://doi.org/10.1162/99608f92.562ff0f5</t>
  </si>
  <si>
    <t>https://doi.org/10.1002/asmb.446</t>
  </si>
  <si>
    <t>https://doi.org/10.1007/978-3-319-92663-6</t>
  </si>
  <si>
    <t>https://doi.org/10.1609/hcomp.v12i1.31598</t>
  </si>
  <si>
    <t>https://doi.org/10.18653/v1/n19-1011</t>
  </si>
  <si>
    <t>https://doi.org/10.1007/s11098-024-02249-w</t>
  </si>
  <si>
    <t>https://doi.org/10.1007/978-3-319-55394-8_4</t>
  </si>
  <si>
    <t>https://doi.org/10.1137/0711010</t>
  </si>
  <si>
    <t>https://arxiv.org/abs/2212.08073</t>
  </si>
  <si>
    <t>https://www.wiley-vch.de/en/areas-interest/natural-sciences/conversation-analysis-978-0-7456-3865-2</t>
  </si>
  <si>
    <t>https://arxiv.org/abs/2403.16609</t>
  </si>
  <si>
    <t>https://www.packtpub.com/en-gb/product/cybersecurity-attacks-red-team-strategies-9781838825508</t>
  </si>
  <si>
    <t>https://doi.org/10.1145/3531146.3533231</t>
  </si>
  <si>
    <t>https://doi.org/10.1162/tacl_a_00041</t>
  </si>
  <si>
    <t>https://doi.org/10.1145/3594737</t>
  </si>
  <si>
    <t>https://doi.org/10.18653/v1/2024.emnlp-industry.16</t>
  </si>
  <si>
    <t>https://doi.org/10.3390/ijerph19116759</t>
  </si>
  <si>
    <t>https://www.routledge.com/Discourse-and-Digital-Practices-Doing-discourse-analysis-in-the-digital-age/Jones-Chik-Hafner/p/book/9781315726465</t>
  </si>
  <si>
    <t>https://arxiv.org/abs/2402.07841</t>
  </si>
  <si>
    <t>https://doi.org/10.18653/v1/2024.findings-eacl.61</t>
  </si>
  <si>
    <t>https://arxiv.org/abs/2107.03374</t>
  </si>
  <si>
    <t>https://doi.org/10.1007/s10462-016-9505-7</t>
  </si>
  <si>
    <t>https://openaccess.thecvf.com/content_CVPRW_2020/html/w1/Robinson_Face_Recognition_Too_Bias_or_Not_Too_Bias_CVPRW_2020_paper.html</t>
  </si>
  <si>
    <t>https://doi.org/10.18653/v1/2024.emnlp-main.1088</t>
  </si>
  <si>
    <t>https://arxiv.org/abs/2310.00741</t>
  </si>
  <si>
    <t>https://doi.org/10.18653/v1/2024.findings-acl.927</t>
  </si>
  <si>
    <t>https://arxiv.org/abs/2302.04222</t>
  </si>
  <si>
    <t>https://doi.org/10.1145/3290605.3300233</t>
  </si>
  <si>
    <t>https://doi.org/10.1145/3689904.3694704</t>
  </si>
  <si>
    <t>https://doi.org/10.1109/smc53992.2023.10394237</t>
  </si>
  <si>
    <t>https://arxiv.org/abs/2411.16391</t>
  </si>
  <si>
    <t>https://doi.org/10.1080/19312458.2021.2020229</t>
  </si>
  <si>
    <t>https://arxiv.org/abs/2503.08908</t>
  </si>
  <si>
    <t>https://doi.org/10.1007/978-3-319-95852-1_13</t>
  </si>
  <si>
    <t>https://doi.org/10.1111/risa.12230</t>
  </si>
  <si>
    <t>https://forskning.ruc.dk/da/publications/945c0468-6d65-4f1f-b6c9-7b5d09ceb5c8</t>
  </si>
  <si>
    <t>https://doi.org/10.18653/v1/2024.eacl-long.5</t>
  </si>
  <si>
    <t>https://doi.org/10.18653/v1/2025.acl-long.1350</t>
  </si>
  <si>
    <t>https://doi.org/10.1145/3442188.3445901</t>
  </si>
  <si>
    <t>https://hopl.info/showsource.prx?source=5497</t>
  </si>
  <si>
    <t>https://doi.org/10.18653/v1/2021.law-1.14</t>
  </si>
  <si>
    <t>https://doi.org/10.1145/3442188.3445922</t>
  </si>
  <si>
    <t>https://books.google.com/books/about/Physics_for_Scientists_and_Engineers_wit.html?id=xz-UEdtRmzkC</t>
  </si>
  <si>
    <t>https://arxiv.org/abs/2305.00944</t>
  </si>
  <si>
    <t>https://doi.org/10.1007/s41701-018-0037-z</t>
  </si>
  <si>
    <t>https://arxiv.org/abs/2504.19793</t>
  </si>
  <si>
    <t>https://arxiv.org/abs/2312.07910</t>
  </si>
  <si>
    <t>https://arxiv.org/abs/2407.12220</t>
  </si>
  <si>
    <t>https://doi.org/10.1111/j.1467-9868.2005.00503.x</t>
  </si>
  <si>
    <t>https://doi.org/10.1016/j.patter.2022.100476</t>
  </si>
  <si>
    <t>https://doi.org/10.1007/978-3-030-30371-6</t>
  </si>
  <si>
    <t>https://doi.org/10.1111/risa.14223</t>
  </si>
  <si>
    <t>https://arxiv.org/abs/2312.01276v1</t>
  </si>
  <si>
    <t>https://arxiv.org/abs/2503.17953</t>
  </si>
  <si>
    <t>https://arxiv.org/abs/2404.10271v1</t>
  </si>
  <si>
    <t>https://doi.org/10.1145/3600211.3604673</t>
  </si>
  <si>
    <t>https://www.wiley-vch.de/en/areas-interest/mathematics-statistics/statistics-16st/applied-probability-statistics-16st2/experimental-design-16st22/statistics-for-experimenters-978-0-471-71813-0</t>
  </si>
  <si>
    <t>https://doi.org/10.1038/s42256-019-0048-x</t>
  </si>
  <si>
    <t>https://doi.org/10.1017/CBO9780511613258</t>
  </si>
  <si>
    <t>https://doi.org/10.1609/icwsm.v14i1.7306</t>
  </si>
  <si>
    <t>https://www.penguin.co.uk/books/354126/surely-youre-joking-mr-feynman-by-feynman-richard-p/9781784877798</t>
  </si>
  <si>
    <t>https://doi.org/10.1145/3571730</t>
  </si>
  <si>
    <t>https://arxiv.org/abs/2311.18760</t>
  </si>
  <si>
    <t>https://doi.org/10.1145/3531146.3533088</t>
  </si>
  <si>
    <t>https://doi.org/10.1007/0-387-28695-0</t>
  </si>
  <si>
    <t>https://doi.org/10.1145/3531146.3533158</t>
  </si>
  <si>
    <t>https://www.routledge.com/The-Logic-of-Scientific-Discovery/Popper/p/book/9780415278447</t>
  </si>
  <si>
    <t>https://doi.org/10.1007/978-3-030-30179-8_2</t>
  </si>
  <si>
    <t>https://doi.org/10.1002/j.2330-8516.1987.tb00244.x</t>
  </si>
  <si>
    <t>https://research.cs.vt.edu/ns/cs5724papers/6.theoriesofuse.cwaandvsd.friedman.vsd.pdf</t>
  </si>
  <si>
    <t>https://arxiv.org/abs/2504.20910</t>
  </si>
  <si>
    <t>https://henrich.fas.harvard.edu/publication/which-humans</t>
  </si>
  <si>
    <t>https://doi.org/10.1145/3600211.3604700</t>
  </si>
  <si>
    <t>https://www.taylorfrancis.com/chapters/edit/10.4324/9781315836027-10/conversational-analysis-jack-richards-richard-schmidt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</si>
</sst>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yyyy\-mm\-dd\ h:mm:ss"/>
    <numFmt numFmtId="166" formatCode="mmmm\ yyyy"/>
    <numFmt numFmtId="167" formatCode="mmmm\ d"/>
    <numFmt numFmtId="168" formatCode="mmm\ d"/>
    <numFmt numFmtId="169" formatCode="m\-d"/>
    <numFmt numFmtId="170" formatCode="mmm\.\ yyyy"/>
    <numFmt numFmtId="171" formatCode="m/d/yyyy"/>
  </numFmts>
  <fonts count="4" x14ac:knownFonts="1">
    <font>
      <sz val="10"/>
      <color rgb="FF000000"/>
      <name val="Arial"/>
      <scheme val="minor"/>
    </font>
    <font>
      <sz val="10"/>
      <color theme="1"/>
      <name val="Arial"/>
      <family val="2"/>
      <scheme val="minor"/>
    </font>
    <font>
      <u/>
      <sz val="10"/>
      <color rgb="FF0000FF"/>
      <name val="Arial"/>
      <family val="2"/>
    </font>
    <font>
      <u/>
      <sz val="10"/>
      <color rgb="FF0000FF"/>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164" fontId="1" fillId="0" borderId="0" xfId="0" applyNumberFormat="1" applyFont="1"/>
    <xf numFmtId="165" fontId="1" fillId="0" borderId="0" xfId="0" applyNumberFormat="1" applyFont="1"/>
    <xf numFmtId="166" fontId="1" fillId="0" borderId="0" xfId="0" applyNumberFormat="1" applyFont="1"/>
    <xf numFmtId="167" fontId="1" fillId="0" borderId="0" xfId="0" applyNumberFormat="1" applyFont="1"/>
    <xf numFmtId="168" fontId="1" fillId="0" borderId="0" xfId="0" applyNumberFormat="1" applyFont="1"/>
    <xf numFmtId="46" fontId="1" fillId="0" borderId="0" xfId="0" applyNumberFormat="1" applyFont="1"/>
    <xf numFmtId="169" fontId="1" fillId="0" borderId="0" xfId="0" applyNumberFormat="1" applyFont="1"/>
    <xf numFmtId="170" fontId="1" fillId="0" borderId="0" xfId="0" applyNumberFormat="1" applyFont="1"/>
    <xf numFmtId="171" fontId="1" fillId="0" borderId="0" xfId="0" applyNumberFormat="1"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atasociety.net/wp-content/uploads/2020/09/Ethics-Owners_20200923-DataSociety.pdf" TargetMode="External"/><Relationship Id="rId299" Type="http://schemas.openxmlformats.org/officeDocument/2006/relationships/hyperlink" Target="https://www.r-project.org/" TargetMode="External"/><Relationship Id="rId21" Type="http://schemas.openxmlformats.org/officeDocument/2006/relationships/hyperlink" Target="https://datasets-benchmarks-proceedings.neurips.cc/paper_files/paper/2021/file/084b6fbb10729ed4da8c3d3f5a3ae7c9-Paper-round2.pdf" TargetMode="External"/><Relationship Id="rId63" Type="http://schemas.openxmlformats.org/officeDocument/2006/relationships/hyperlink" Target="https://arxiv.org/abs/2305.08322" TargetMode="External"/><Relationship Id="rId159" Type="http://schemas.openxmlformats.org/officeDocument/2006/relationships/hyperlink" Target="https://aclanthology.org/W18-5446.pdf" TargetMode="External"/><Relationship Id="rId324" Type="http://schemas.openxmlformats.org/officeDocument/2006/relationships/hyperlink" Target="https://proceedings.neurips.cc/paper_files/paper/2020/file/6b493230205f780e1bc26945df7481e5-Paper.pdf" TargetMode="External"/><Relationship Id="rId366" Type="http://schemas.openxmlformats.org/officeDocument/2006/relationships/hyperlink" Target="http://yann.lecun.com/exdb/mnist/" TargetMode="External"/><Relationship Id="rId170" Type="http://schemas.openxmlformats.org/officeDocument/2006/relationships/hyperlink" Target="http://data.h2o.ai/" TargetMode="External"/><Relationship Id="rId226" Type="http://schemas.openxmlformats.org/officeDocument/2006/relationships/hyperlink" Target="http://cs.cl/" TargetMode="External"/><Relationship Id="rId268" Type="http://schemas.openxmlformats.org/officeDocument/2006/relationships/hyperlink" Target="http://arxiv.org/abs/1806.09936v1" TargetMode="External"/><Relationship Id="rId32" Type="http://schemas.openxmlformats.org/officeDocument/2006/relationships/hyperlink" Target="http://arxiv.org/abs/2404.11224" TargetMode="External"/><Relationship Id="rId74" Type="http://schemas.openxmlformats.org/officeDocument/2006/relationships/hyperlink" Target="http://cs.cy/" TargetMode="External"/><Relationship Id="rId128" Type="http://schemas.openxmlformats.org/officeDocument/2006/relationships/hyperlink" Target="https://arxiv.org/pdf/1806.00069.pdf" TargetMode="External"/><Relationship Id="rId335" Type="http://schemas.openxmlformats.org/officeDocument/2006/relationships/hyperlink" Target="http://cs.cr/" TargetMode="External"/><Relationship Id="rId377" Type="http://schemas.openxmlformats.org/officeDocument/2006/relationships/hyperlink" Target="https://arxiv.org/abs/2312.01276" TargetMode="External"/><Relationship Id="rId5" Type="http://schemas.openxmlformats.org/officeDocument/2006/relationships/hyperlink" Target="https://doi.org/10.47120/npl.MS57" TargetMode="External"/><Relationship Id="rId181" Type="http://schemas.openxmlformats.org/officeDocument/2006/relationships/hyperlink" Target="http://h2o-release.s3.amazonaws.com/h2o/latest_stable_Rdoc.html" TargetMode="External"/><Relationship Id="rId237" Type="http://schemas.openxmlformats.org/officeDocument/2006/relationships/hyperlink" Target="https://arxiv.org/pdf/2312.06674" TargetMode="External"/><Relationship Id="rId402" Type="http://schemas.openxmlformats.org/officeDocument/2006/relationships/hyperlink" Target="http://www.poker-ping.info/" TargetMode="External"/><Relationship Id="rId279" Type="http://schemas.openxmlformats.org/officeDocument/2006/relationships/hyperlink" Target="https://www.scientificamerican.com/article/should-you-be-nice-to-ai-chatbots-such-as-chatgpt" TargetMode="External"/><Relationship Id="rId43" Type="http://schemas.openxmlformats.org/officeDocument/2006/relationships/hyperlink" Target="https://doi.org/10.6028/NIST.AI.600-1" TargetMode="External"/><Relationship Id="rId139" Type="http://schemas.openxmlformats.org/officeDocument/2006/relationships/hyperlink" Target="http://h2o.ai/resources" TargetMode="External"/><Relationship Id="rId290" Type="http://schemas.openxmlformats.org/officeDocument/2006/relationships/hyperlink" Target="https://github.com/bigscience-workshop/promptsource" TargetMode="External"/><Relationship Id="rId304" Type="http://schemas.openxmlformats.org/officeDocument/2006/relationships/hyperlink" Target="http://www.jmlr.org/papers/volume13/bergstra12a/bergstra12a.pdf" TargetMode="External"/><Relationship Id="rId346" Type="http://schemas.openxmlformats.org/officeDocument/2006/relationships/hyperlink" Target="https://ai.meta.com/research/publications/system-level-transparency-of-machine-learning/" TargetMode="External"/><Relationship Id="rId388" Type="http://schemas.openxmlformats.org/officeDocument/2006/relationships/hyperlink" Target="http://adversa.ai/" TargetMode="External"/><Relationship Id="rId85" Type="http://schemas.openxmlformats.org/officeDocument/2006/relationships/hyperlink" Target="https://www.sciencedirect.com/science/article/pii/S0007681322001288" TargetMode="External"/><Relationship Id="rId150" Type="http://schemas.openxmlformats.org/officeDocument/2006/relationships/hyperlink" Target="https://garak.ai/" TargetMode="External"/><Relationship Id="rId192" Type="http://schemas.openxmlformats.org/officeDocument/2006/relationships/hyperlink" Target="https://groups.google.com/d/forum/h2ostream" TargetMode="External"/><Relationship Id="rId206" Type="http://schemas.openxmlformats.org/officeDocument/2006/relationships/hyperlink" Target="https://doi.org/10.1109/CVPR.2009.5206848" TargetMode="External"/><Relationship Id="rId248" Type="http://schemas.openxmlformats.org/officeDocument/2006/relationships/hyperlink" Target="https://arxiv.org/abs/2312.00273" TargetMode="External"/><Relationship Id="rId12" Type="http://schemas.openxmlformats.org/officeDocument/2006/relationships/hyperlink" Target="http://onlinelibrary.wiley.com/doi/10.1111/j.1365-2656.2008.01390.x/abstract" TargetMode="External"/><Relationship Id="rId108" Type="http://schemas.openxmlformats.org/officeDocument/2006/relationships/hyperlink" Target="https://arxiv.org/abs/2403.17336" TargetMode="External"/><Relationship Id="rId315" Type="http://schemas.openxmlformats.org/officeDocument/2006/relationships/hyperlink" Target="http://www.cs.toronto.edu/~hinton/science.pdf" TargetMode="External"/><Relationship Id="rId357" Type="http://schemas.openxmlformats.org/officeDocument/2006/relationships/hyperlink" Target="http://cs.cy/" TargetMode="External"/><Relationship Id="rId54" Type="http://schemas.openxmlformats.org/officeDocument/2006/relationships/hyperlink" Target="http://cs.ai/" TargetMode="External"/><Relationship Id="rId96" Type="http://schemas.openxmlformats.org/officeDocument/2006/relationships/hyperlink" Target="http://cs.cl/" TargetMode="External"/><Relationship Id="rId161" Type="http://schemas.openxmlformats.org/officeDocument/2006/relationships/hyperlink" Target="https://arxiv.org/pdf/1409.4842.pdf" TargetMode="External"/><Relationship Id="rId217" Type="http://schemas.openxmlformats.org/officeDocument/2006/relationships/hyperlink" Target="https://doi.org/10.1371/journal.pone.0219854" TargetMode="External"/><Relationship Id="rId399" Type="http://schemas.openxmlformats.org/officeDocument/2006/relationships/hyperlink" Target="https://arxiv.org/pdf/1409.1556" TargetMode="External"/><Relationship Id="rId259" Type="http://schemas.openxmlformats.org/officeDocument/2006/relationships/hyperlink" Target="https://openai.com/blog/new-and-improved-embedding-model" TargetMode="External"/><Relationship Id="rId23" Type="http://schemas.openxmlformats.org/officeDocument/2006/relationships/hyperlink" Target="https://arxiv.org/abs/1810.01943" TargetMode="External"/><Relationship Id="rId119" Type="http://schemas.openxmlformats.org/officeDocument/2006/relationships/hyperlink" Target="https://arxiv.org/abs/2312.03689" TargetMode="External"/><Relationship Id="rId270" Type="http://schemas.openxmlformats.org/officeDocument/2006/relationships/hyperlink" Target="https://arxiv.org/abs/2011.13416" TargetMode="External"/><Relationship Id="rId326" Type="http://schemas.openxmlformats.org/officeDocument/2006/relationships/hyperlink" Target="https://arxiv.org/abs/1909.03004" TargetMode="External"/><Relationship Id="rId65" Type="http://schemas.openxmlformats.org/officeDocument/2006/relationships/hyperlink" Target="https://arxiv.org/pdf/2411.17912" TargetMode="External"/><Relationship Id="rId130" Type="http://schemas.openxmlformats.org/officeDocument/2006/relationships/hyperlink" Target="https://www.jmlr.org/papers/volume21/20-074/20-074.pdf" TargetMode="External"/><Relationship Id="rId368" Type="http://schemas.openxmlformats.org/officeDocument/2006/relationships/hyperlink" Target="https://doi.org/10.1214/aoms/1177732186" TargetMode="External"/><Relationship Id="rId172" Type="http://schemas.openxmlformats.org/officeDocument/2006/relationships/hyperlink" Target="http://docs.h2o.ai/" TargetMode="External"/><Relationship Id="rId228" Type="http://schemas.openxmlformats.org/officeDocument/2006/relationships/hyperlink" Target="https://proceedings.neurips.cc/paper_files/paper/2020/file/1457c0d6bfcb4967418bfb8ac142f64a-Paper.pdf" TargetMode="External"/><Relationship Id="rId281" Type="http://schemas.openxmlformats.org/officeDocument/2006/relationships/hyperlink" Target="https://arxiv.org/abs/2502.00561" TargetMode="External"/><Relationship Id="rId337" Type="http://schemas.openxmlformats.org/officeDocument/2006/relationships/hyperlink" Target="http://cs.cl/" TargetMode="External"/><Relationship Id="rId34" Type="http://schemas.openxmlformats.org/officeDocument/2006/relationships/hyperlink" Target="https://www.jstor.org/stable/3592802" TargetMode="External"/><Relationship Id="rId76" Type="http://schemas.openxmlformats.org/officeDocument/2006/relationships/hyperlink" Target="https://doi.org/10.1145/3686937" TargetMode="External"/><Relationship Id="rId141" Type="http://schemas.openxmlformats.org/officeDocument/2006/relationships/hyperlink" Target="https://link.springer.com/article/10.1186/s12859-020-3453-6" TargetMode="External"/><Relationship Id="rId379" Type="http://schemas.openxmlformats.org/officeDocument/2006/relationships/hyperlink" Target="https://arxiv.org/abs/2004.07213" TargetMode="External"/><Relationship Id="rId7" Type="http://schemas.openxmlformats.org/officeDocument/2006/relationships/hyperlink" Target="http://cs.cy/" TargetMode="External"/><Relationship Id="rId183" Type="http://schemas.openxmlformats.org/officeDocument/2006/relationships/hyperlink" Target="http://h2o.ai/" TargetMode="External"/><Relationship Id="rId239" Type="http://schemas.openxmlformats.org/officeDocument/2006/relationships/hyperlink" Target="https://arxiv.org/ftp/arxiv/papers/1806/1806.00663.pdf" TargetMode="External"/><Relationship Id="rId390" Type="http://schemas.openxmlformats.org/officeDocument/2006/relationships/hyperlink" Target="https://www.iso.org/standard/81608.html" TargetMode="External"/><Relationship Id="rId404" Type="http://schemas.openxmlformats.org/officeDocument/2006/relationships/hyperlink" Target="https://www.sciencedirect.com/science/article/pii/S0720048X24001475" TargetMode="External"/><Relationship Id="rId250" Type="http://schemas.openxmlformats.org/officeDocument/2006/relationships/hyperlink" Target="http://arxiv.org/pdf/1302.4389.pdf" TargetMode="External"/><Relationship Id="rId292" Type="http://schemas.openxmlformats.org/officeDocument/2006/relationships/hyperlink" Target="http://web.stanford.edu/~boyd/papers/pdf/prox_algs.pdf" TargetMode="External"/><Relationship Id="rId306" Type="http://schemas.openxmlformats.org/officeDocument/2006/relationships/hyperlink" Target="http://www.jmlr.org/papers/volume13/bergstra12a/bergstra12a.pdf" TargetMode="External"/><Relationship Id="rId45" Type="http://schemas.openxmlformats.org/officeDocument/2006/relationships/hyperlink" Target="http://aima.cs.berkeley.edu/index.html" TargetMode="External"/><Relationship Id="rId87" Type="http://schemas.openxmlformats.org/officeDocument/2006/relationships/hyperlink" Target="https://docs.google.com/presentation/d/1ycNhDJr5uQiBhWvdlNArnv7ojydW73qryOjRBB30Z44/edit" TargetMode="External"/><Relationship Id="rId110" Type="http://schemas.openxmlformats.org/officeDocument/2006/relationships/hyperlink" Target="https://aclanthology.org/2021.naacl-main.324/" TargetMode="External"/><Relationship Id="rId348" Type="http://schemas.openxmlformats.org/officeDocument/2006/relationships/hyperlink" Target="https://cdn-dynmedia-1.microsoft.com/is/content/microsoftcorp/microsoft/final/en-us/microsoft-brand/documents/Taxonomy-of-Failure-Mode-in-Agentic-AI-Systems-Whitepaper.pdf" TargetMode="External"/><Relationship Id="rId152" Type="http://schemas.openxmlformats.org/officeDocument/2006/relationships/hyperlink" Target="http://h2o.ai/resources" TargetMode="External"/><Relationship Id="rId194" Type="http://schemas.openxmlformats.org/officeDocument/2006/relationships/hyperlink" Target="https://doi.org/10.1016/j.artint.2021.103555" TargetMode="External"/><Relationship Id="rId208" Type="http://schemas.openxmlformats.org/officeDocument/2006/relationships/hyperlink" Target="http://arxiv.org/pdf/1207.0580.pdf" TargetMode="External"/><Relationship Id="rId261" Type="http://schemas.openxmlformats.org/officeDocument/2006/relationships/hyperlink" Target="https://arxiv.org/abs/2302.12173" TargetMode="External"/><Relationship Id="rId14" Type="http://schemas.openxmlformats.org/officeDocument/2006/relationships/hyperlink" Target="http://arxiv.org/pdf/1212.5701v1.pdf" TargetMode="External"/><Relationship Id="rId56" Type="http://schemas.openxmlformats.org/officeDocument/2006/relationships/hyperlink" Target="http://cs.cl/" TargetMode="External"/><Relationship Id="rId317" Type="http://schemas.openxmlformats.org/officeDocument/2006/relationships/hyperlink" Target="http://statweb.stanford.edu/~tibs/lasso/lasso.pdf" TargetMode="External"/><Relationship Id="rId359" Type="http://schemas.openxmlformats.org/officeDocument/2006/relationships/hyperlink" Target="https://doi.org/10.1145/3678884.3687147" TargetMode="External"/><Relationship Id="rId98" Type="http://schemas.openxmlformats.org/officeDocument/2006/relationships/hyperlink" Target="http://web.stanford.edu/?hastie/Papers/boost_discussion.pdf" TargetMode="External"/><Relationship Id="rId121" Type="http://schemas.openxmlformats.org/officeDocument/2006/relationships/hyperlink" Target="https://www.science.org/doi/abs/10.1126/science.aaf0918" TargetMode="External"/><Relationship Id="rId163" Type="http://schemas.openxmlformats.org/officeDocument/2006/relationships/hyperlink" Target="http://cs.cl/" TargetMode="External"/><Relationship Id="rId219" Type="http://schemas.openxmlformats.org/officeDocument/2006/relationships/hyperlink" Target="https://www.iso.org/standard/81230.html" TargetMode="External"/><Relationship Id="rId370" Type="http://schemas.openxmlformats.org/officeDocument/2006/relationships/hyperlink" Target="http://www.nber.org/papers/w32487" TargetMode="External"/><Relationship Id="rId230" Type="http://schemas.openxmlformats.org/officeDocument/2006/relationships/hyperlink" Target="https://www.science.org/doi/abs/10.1126/science.adt9819" TargetMode="External"/><Relationship Id="rId25" Type="http://schemas.openxmlformats.org/officeDocument/2006/relationships/hyperlink" Target="https://aiethics.turing.ac.uk/modules/sustainability-1/" TargetMode="External"/><Relationship Id="rId67" Type="http://schemas.openxmlformats.org/officeDocument/2006/relationships/hyperlink" Target="https://arxiv.org/abs/2502.06559" TargetMode="External"/><Relationship Id="rId272" Type="http://schemas.openxmlformats.org/officeDocument/2006/relationships/hyperlink" Target="http://cs.cl/" TargetMode="External"/><Relationship Id="rId328" Type="http://schemas.openxmlformats.org/officeDocument/2006/relationships/hyperlink" Target="https://arxiv.org/abs/2310.11986" TargetMode="External"/><Relationship Id="rId132" Type="http://schemas.openxmlformats.org/officeDocument/2006/relationships/hyperlink" Target="http://papers.nips.cc/paper/1152-extracting-tree-structured-representations-of-trained-networks.pdf" TargetMode="External"/><Relationship Id="rId174" Type="http://schemas.openxmlformats.org/officeDocument/2006/relationships/hyperlink" Target="https://github.com/h2oai" TargetMode="External"/><Relationship Id="rId381" Type="http://schemas.openxmlformats.org/officeDocument/2006/relationships/hyperlink" Target="https://arxiv.org/pdf/1702.08608.pdf" TargetMode="External"/><Relationship Id="rId241" Type="http://schemas.openxmlformats.org/officeDocument/2006/relationships/hyperlink" Target="http://www.cs.cmu.edu/~tom/mlbook.html" TargetMode="External"/><Relationship Id="rId36" Type="http://schemas.openxmlformats.org/officeDocument/2006/relationships/hyperlink" Target="https://arxiv.org/abs/2301.07085" TargetMode="External"/><Relationship Id="rId283" Type="http://schemas.openxmlformats.org/officeDocument/2006/relationships/hyperlink" Target="https://doi.org/10.1145/3551624.3555290" TargetMode="External"/><Relationship Id="rId339" Type="http://schemas.openxmlformats.org/officeDocument/2006/relationships/hyperlink" Target="https://www.federalreserve.gov/supervisionreg/stress-tests-capital-planning.htm" TargetMode="External"/><Relationship Id="rId78" Type="http://schemas.openxmlformats.org/officeDocument/2006/relationships/hyperlink" Target="https://doi.org/10.1177/0963721415599543" TargetMode="External"/><Relationship Id="rId101" Type="http://schemas.openxmlformats.org/officeDocument/2006/relationships/hyperlink" Target="https://web.stanford.edu/~boyd/papers/pdf/admm_distr_stats.pdf" TargetMode="External"/><Relationship Id="rId143" Type="http://schemas.openxmlformats.org/officeDocument/2006/relationships/hyperlink" Target="https://arxiv.org/pdf/2407.10930" TargetMode="External"/><Relationship Id="rId185" Type="http://schemas.openxmlformats.org/officeDocument/2006/relationships/hyperlink" Target="http://h2o.ai/" TargetMode="External"/><Relationship Id="rId350" Type="http://schemas.openxmlformats.org/officeDocument/2006/relationships/hyperlink" Target="http://www.vias.org/tmdatanaleng/index.html" TargetMode="External"/><Relationship Id="rId9" Type="http://schemas.openxmlformats.org/officeDocument/2006/relationships/hyperlink" Target="https://dl.acm.org/doi/pdf/10.1145/3457607" TargetMode="External"/><Relationship Id="rId210" Type="http://schemas.openxmlformats.org/officeDocument/2006/relationships/hyperlink" Target="https://doi.org/10.1016/j.socec.2024.102327" TargetMode="External"/><Relationship Id="rId392" Type="http://schemas.openxmlformats.org/officeDocument/2006/relationships/hyperlink" Target="https://www.youtube.com/watch?v=jIXIuYdnyyk" TargetMode="External"/><Relationship Id="rId252" Type="http://schemas.openxmlformats.org/officeDocument/2006/relationships/hyperlink" Target="https://doi.org/10.1037/h0031619" TargetMode="External"/><Relationship Id="rId294" Type="http://schemas.openxmlformats.org/officeDocument/2006/relationships/hyperlink" Target="https://arxiv.org/abs/2410.02828" TargetMode="External"/><Relationship Id="rId308" Type="http://schemas.openxmlformats.org/officeDocument/2006/relationships/hyperlink" Target="http://dx.doi.org/10.1145/3531146.3533122" TargetMode="External"/><Relationship Id="rId47" Type="http://schemas.openxmlformats.org/officeDocument/2006/relationships/hyperlink" Target="https://nvlpubs.nist.gov/nistpubs/ai/NIST.AI.700-2.pdf" TargetMode="External"/><Relationship Id="rId89" Type="http://schemas.openxmlformats.org/officeDocument/2006/relationships/hyperlink" Target="http://h2o.ai/resources" TargetMode="External"/><Relationship Id="rId112" Type="http://schemas.openxmlformats.org/officeDocument/2006/relationships/hyperlink" Target="https://www.bankingsupervision.europa.eu/ecb/pub/pdf/ssm.supervisory_guide202507.en.pdf" TargetMode="External"/><Relationship Id="rId154" Type="http://schemas.openxmlformats.org/officeDocument/2006/relationships/hyperlink" Target="https://github.com/jphall663/gai_risk_management" TargetMode="External"/><Relationship Id="rId361" Type="http://schemas.openxmlformats.org/officeDocument/2006/relationships/hyperlink" Target="https://doi.org/10.1016/j.econlet.2024.111971" TargetMode="External"/><Relationship Id="rId196" Type="http://schemas.openxmlformats.org/officeDocument/2006/relationships/hyperlink" Target="https://www.ncbi.nlm.nih.gov/pmc/articles/PMC7349636/" TargetMode="External"/><Relationship Id="rId16" Type="http://schemas.openxmlformats.org/officeDocument/2006/relationships/hyperlink" Target="http://projecteuclid.org/DPubS?service=UI&amp;version=1.0&amp;verb=Display&amp;handle=%20euclid.aos/1016218223" TargetMode="External"/><Relationship Id="rId221" Type="http://schemas.openxmlformats.org/officeDocument/2006/relationships/hyperlink" Target="https://doi.org/10.1162/TACL.a.626" TargetMode="External"/><Relationship Id="rId263" Type="http://schemas.openxmlformats.org/officeDocument/2006/relationships/hyperlink" Target="http://www.cs.toronto.edu/~fritz/absps/momentum.pdf" TargetMode="External"/><Relationship Id="rId319" Type="http://schemas.openxmlformats.org/officeDocument/2006/relationships/hyperlink" Target="http://core.ac.uk/download/pdf/6287975.pdf" TargetMode="External"/><Relationship Id="rId58" Type="http://schemas.openxmlformats.org/officeDocument/2006/relationships/hyperlink" Target="https://direct.mit.edu/coli/article/50/3/1097/121961" TargetMode="External"/><Relationship Id="rId123" Type="http://schemas.openxmlformats.org/officeDocument/2006/relationships/hyperlink" Target="https://doi.org/10.1145/3411764.3445518" TargetMode="External"/><Relationship Id="rId330" Type="http://schemas.openxmlformats.org/officeDocument/2006/relationships/hyperlink" Target="https://journals.sagepub.com/page/policies/text-and-data-mining-license" TargetMode="External"/><Relationship Id="rId165" Type="http://schemas.openxmlformats.org/officeDocument/2006/relationships/hyperlink" Target="http://h2o.ai/resources" TargetMode="External"/><Relationship Id="rId372" Type="http://schemas.openxmlformats.org/officeDocument/2006/relationships/hyperlink" Target="https://arxiv.org/abs/2403.03218" TargetMode="External"/><Relationship Id="rId211" Type="http://schemas.openxmlformats.org/officeDocument/2006/relationships/hyperlink" Target="https://www.sciencedirect.com/science/article/pii/S2214804324001642" TargetMode="External"/><Relationship Id="rId232" Type="http://schemas.openxmlformats.org/officeDocument/2006/relationships/hyperlink" Target="http://jmlr.org/" TargetMode="External"/><Relationship Id="rId253" Type="http://schemas.openxmlformats.org/officeDocument/2006/relationships/hyperlink" Target="https://msblogs.thesourcemediaassets.com/sites/5/2022/06/Microsoft-RAI-Impact-Assessment-Guide.pdf" TargetMode="External"/><Relationship Id="rId274" Type="http://schemas.openxmlformats.org/officeDocument/2006/relationships/hyperlink" Target="https://doi.org/10.1145/3551624.3555285" TargetMode="External"/><Relationship Id="rId295" Type="http://schemas.openxmlformats.org/officeDocument/2006/relationships/hyperlink" Target="https://www.iso.org/standard/45481.html" TargetMode="External"/><Relationship Id="rId309" Type="http://schemas.openxmlformats.org/officeDocument/2006/relationships/hyperlink" Target="https://aclanthology.org/2020.findings-emnlp.301.pdf" TargetMode="External"/><Relationship Id="rId27" Type="http://schemas.openxmlformats.org/officeDocument/2006/relationships/hyperlink" Target="https://aclanthology.org/2025.naacl-long.595.pdf" TargetMode="External"/><Relationship Id="rId48" Type="http://schemas.openxmlformats.org/officeDocument/2006/relationships/hyperlink" Target="https://arxiv.org/pdf/1502.03167.pdf" TargetMode="External"/><Relationship Id="rId69" Type="http://schemas.openxmlformats.org/officeDocument/2006/relationships/hyperlink" Target="https://arxiv.org/abs/2310.06987" TargetMode="External"/><Relationship Id="rId113" Type="http://schemas.openxmlformats.org/officeDocument/2006/relationships/hyperlink" Target="http://yann.lecun.com/exdb/publis/pdf/lecun-98b.pdf" TargetMode="External"/><Relationship Id="rId134" Type="http://schemas.openxmlformats.org/officeDocument/2006/relationships/hyperlink" Target="https://doi.org/10.1145/3287560.3287598" TargetMode="External"/><Relationship Id="rId320" Type="http://schemas.openxmlformats.org/officeDocument/2006/relationships/hyperlink" Target="http://core.ac.uk/download/pdf/6287975.pdf" TargetMode="External"/><Relationship Id="rId80" Type="http://schemas.openxmlformats.org/officeDocument/2006/relationships/hyperlink" Target="https://www.occ.gov/publications-and-resources/publications/comptrollers-handbook/files/fair-lending/index-fair-lending.html" TargetMode="External"/><Relationship Id="rId155" Type="http://schemas.openxmlformats.org/officeDocument/2006/relationships/hyperlink" Target="https://www.sciencedirect.com/science/article/pii/S2589750024001432" TargetMode="External"/><Relationship Id="rId176" Type="http://schemas.openxmlformats.org/officeDocument/2006/relationships/hyperlink" Target="https://github.com/h2oai/h2o/tree/master/docs/deeplearning/DeepLearningRVignetteDemo" TargetMode="External"/><Relationship Id="rId197" Type="http://schemas.openxmlformats.org/officeDocument/2006/relationships/hyperlink" Target="https://inria.hal.science/hal-00696751/PDF/hieragg.pdf" TargetMode="External"/><Relationship Id="rId341" Type="http://schemas.openxmlformats.org/officeDocument/2006/relationships/hyperlink" Target="http://statweb.stanford.edu/~tibs/ftp/strong.pdf" TargetMode="External"/><Relationship Id="rId362" Type="http://schemas.openxmlformats.org/officeDocument/2006/relationships/hyperlink" Target="https://www.sciencedirect.com/science/article/pii/S0165176524004555" TargetMode="External"/><Relationship Id="rId383" Type="http://schemas.openxmlformats.org/officeDocument/2006/relationships/hyperlink" Target="http://cs.cl/" TargetMode="External"/><Relationship Id="rId201" Type="http://schemas.openxmlformats.org/officeDocument/2006/relationships/hyperlink" Target="https://nap.nationalacademies.org/read/26355/chapter/1" TargetMode="External"/><Relationship Id="rId222" Type="http://schemas.openxmlformats.org/officeDocument/2006/relationships/hyperlink" Target="https://arxiv.org/abs/2310.08419" TargetMode="External"/><Relationship Id="rId243" Type="http://schemas.openxmlformats.org/officeDocument/2006/relationships/hyperlink" Target="http://www.iiia.csic.es/~vtorra/tr-bias.pdf" TargetMode="External"/><Relationship Id="rId264" Type="http://schemas.openxmlformats.org/officeDocument/2006/relationships/hyperlink" Target="http://www.cs.toronto.edu/~fritz/absps/momentum.pdf" TargetMode="External"/><Relationship Id="rId285" Type="http://schemas.openxmlformats.org/officeDocument/2006/relationships/hyperlink" Target="https://arxiv.org/abs/2311.00871" TargetMode="External"/><Relationship Id="rId17" Type="http://schemas.openxmlformats.org/officeDocument/2006/relationships/hyperlink" Target="https://www.consumerfinance.gov/compliance/circulars/circular-2022-03-adverse-action-notification-requirements-in-connection-with-credit-decisions-based-on-complex-algorithms/" TargetMode="External"/><Relationship Id="rId38" Type="http://schemas.openxmlformats.org/officeDocument/2006/relationships/hyperlink" Target="https://pubmed.ncbi.nlm.nih.gov/36811129/" TargetMode="External"/><Relationship Id="rId59" Type="http://schemas.openxmlformats.org/officeDocument/2006/relationships/hyperlink" Target="https://doi.org/10.1145/3442188.3445924" TargetMode="External"/><Relationship Id="rId103" Type="http://schemas.openxmlformats.org/officeDocument/2006/relationships/hyperlink" Target="https://arxiv.org/abs/2308.03825" TargetMode="External"/><Relationship Id="rId124" Type="http://schemas.openxmlformats.org/officeDocument/2006/relationships/hyperlink" Target="https://doi.org/10.1109/ISCC53001.2021.9631425" TargetMode="External"/><Relationship Id="rId310" Type="http://schemas.openxmlformats.org/officeDocument/2006/relationships/hyperlink" Target="http://cs.cl/" TargetMode="External"/><Relationship Id="rId70" Type="http://schemas.openxmlformats.org/officeDocument/2006/relationships/hyperlink" Target="https://arxiv.org/pdf/2201.11903" TargetMode="External"/><Relationship Id="rId91" Type="http://schemas.openxmlformats.org/officeDocument/2006/relationships/hyperlink" Target="https://ojs.aaai.org/index.php/AAAI/article/download/11694/11553" TargetMode="External"/><Relationship Id="rId145" Type="http://schemas.openxmlformats.org/officeDocument/2006/relationships/hyperlink" Target="https://doi.org/10.48550/arXiv.2105.12837" TargetMode="External"/><Relationship Id="rId166" Type="http://schemas.openxmlformats.org/officeDocument/2006/relationships/hyperlink" Target="http://h2o.ai/resources" TargetMode="External"/><Relationship Id="rId187" Type="http://schemas.openxmlformats.org/officeDocument/2006/relationships/hyperlink" Target="http://www.h2o.ai/" TargetMode="External"/><Relationship Id="rId331" Type="http://schemas.openxmlformats.org/officeDocument/2006/relationships/hyperlink" Target="https://journals.sagepub.com/doi/10.1177/001872675100400101" TargetMode="External"/><Relationship Id="rId352" Type="http://schemas.openxmlformats.org/officeDocument/2006/relationships/hyperlink" Target="https://proceedings.neurips.cc/paper_files/paper/2024/file/58e79894267cf72c66202228ad9c6057-Paper-Datasets_and_Benchmarks_Track.pdf" TargetMode="External"/><Relationship Id="rId373" Type="http://schemas.openxmlformats.org/officeDocument/2006/relationships/hyperlink" Target="https://doi.org/10.1145/3653705" TargetMode="External"/><Relationship Id="rId394" Type="http://schemas.openxmlformats.org/officeDocument/2006/relationships/hyperlink" Target="http://archive.ics.uci.edu/ml" TargetMode="External"/><Relationship Id="rId1" Type="http://schemas.openxmlformats.org/officeDocument/2006/relationships/hyperlink" Target="https://doi.org/10.1080/10618600.2017.1384734" TargetMode="External"/><Relationship Id="rId212" Type="http://schemas.openxmlformats.org/officeDocument/2006/relationships/hyperlink" Target="https://www.consumerfinance.gov/about-us/blog/innovation-spotlight-providing-adverse-action-notices-when-using-ai-ml-models/" TargetMode="External"/><Relationship Id="rId233" Type="http://schemas.openxmlformats.org/officeDocument/2006/relationships/hyperlink" Target="http://www.iro.umontreal.ca/~bengioy/papers/ftml.pdf" TargetMode="External"/><Relationship Id="rId254" Type="http://schemas.openxmlformats.org/officeDocument/2006/relationships/hyperlink" Target="https://msblogs.thesourcemediaassets.com/sites/5/2022/06/Microsoft-RAI-Impact-Assessment-Template.pdf" TargetMode="External"/><Relationship Id="rId28" Type="http://schemas.openxmlformats.org/officeDocument/2006/relationships/hyperlink" Target="https://www.nist.gov/system/files/documents/2021/10/04/aiareport2018.pdf" TargetMode="External"/><Relationship Id="rId49" Type="http://schemas.openxmlformats.org/officeDocument/2006/relationships/hyperlink" Target="https://arxiv.org/pdf/1502.03167.pdf" TargetMode="External"/><Relationship Id="rId114" Type="http://schemas.openxmlformats.org/officeDocument/2006/relationships/hyperlink" Target="http://yann.lecun.com/exdb/publis/pdf/lecun-98b.pdf" TargetMode="External"/><Relationship Id="rId275" Type="http://schemas.openxmlformats.org/officeDocument/2006/relationships/hyperlink" Target="https://media.nesta.org.uk/documents/Nesta_Participatory_AI_for_humanitarian_innovation_Final.pdf" TargetMode="External"/><Relationship Id="rId296" Type="http://schemas.openxmlformats.org/officeDocument/2006/relationships/hyperlink" Target="https://arxiv.org/abs/2202.07646" TargetMode="External"/><Relationship Id="rId300" Type="http://schemas.openxmlformats.org/officeDocument/2006/relationships/hyperlink" Target="https://www.r-project.org/" TargetMode="External"/><Relationship Id="rId60" Type="http://schemas.openxmlformats.org/officeDocument/2006/relationships/hyperlink" Target="https://arxiv.org/abs/2509.26632" TargetMode="External"/><Relationship Id="rId81" Type="http://schemas.openxmlformats.org/officeDocument/2006/relationships/hyperlink" Target="https://www.occ.gov/publications-and-resources/publications/comptrollers-handbook/files/model-risk-management/index-model-risk-management.html" TargetMode="External"/><Relationship Id="rId135" Type="http://schemas.openxmlformats.org/officeDocument/2006/relationships/hyperlink" Target="http://fairmlbook.org/" TargetMode="External"/><Relationship Id="rId156" Type="http://schemas.openxmlformats.org/officeDocument/2006/relationships/hyperlink" Target="http://mckinsey.com/" TargetMode="External"/><Relationship Id="rId177" Type="http://schemas.openxmlformats.org/officeDocument/2006/relationships/hyperlink" Target="https://jira.h2o.ai/" TargetMode="External"/><Relationship Id="rId198" Type="http://schemas.openxmlformats.org/officeDocument/2006/relationships/hyperlink" Target="https://cs.stanford.edu/people/jure/pubs/diffpool-neurips18.pdf" TargetMode="External"/><Relationship Id="rId321" Type="http://schemas.openxmlformats.org/officeDocument/2006/relationships/hyperlink" Target="https://aclanthology.org/2023.woah-1.8" TargetMode="External"/><Relationship Id="rId342" Type="http://schemas.openxmlformats.org/officeDocument/2006/relationships/hyperlink" Target="https://doi.org/10.1145/3418034" TargetMode="External"/><Relationship Id="rId363" Type="http://schemas.openxmlformats.org/officeDocument/2006/relationships/hyperlink" Target="http://cs.ai/" TargetMode="External"/><Relationship Id="rId384" Type="http://schemas.openxmlformats.org/officeDocument/2006/relationships/hyperlink" Target="https://arxiv.org/abs/2204.05862" TargetMode="External"/><Relationship Id="rId202" Type="http://schemas.openxmlformats.org/officeDocument/2006/relationships/hyperlink" Target="https://arxiv.org/pdf/2411.16391" TargetMode="External"/><Relationship Id="rId223" Type="http://schemas.openxmlformats.org/officeDocument/2006/relationships/hyperlink" Target="https://proceedings.neurips.cc/paper_files/paper/2023/file/fd6613131889a4b656206c50a8bd7790-Paper-Conference.pdf" TargetMode="External"/><Relationship Id="rId244" Type="http://schemas.openxmlformats.org/officeDocument/2006/relationships/hyperlink" Target="https://www.oreilly.com/library/view/machine-learning-for/9781098102425/" TargetMode="External"/><Relationship Id="rId18" Type="http://schemas.openxmlformats.org/officeDocument/2006/relationships/hyperlink" Target="https://www.fhfa.gov/advisory-bulletin/AB-2022-03" TargetMode="External"/><Relationship Id="rId39" Type="http://schemas.openxmlformats.org/officeDocument/2006/relationships/hyperlink" Target="https://eur-lex.europa.eu/legal-content/EN/TXT/?uri=CELEX:32024R1689" TargetMode="External"/><Relationship Id="rId265" Type="http://schemas.openxmlformats.org/officeDocument/2006/relationships/hyperlink" Target="https://arxiv.org/abs/2209.15259" TargetMode="External"/><Relationship Id="rId286" Type="http://schemas.openxmlformats.org/officeDocument/2006/relationships/hyperlink" Target="https://arxiv.org/pdf/2011.08512" TargetMode="External"/><Relationship Id="rId50" Type="http://schemas.openxmlformats.org/officeDocument/2006/relationships/hyperlink" Target="https://arxiv.org/pdf/2110.08193" TargetMode="External"/><Relationship Id="rId104" Type="http://schemas.openxmlformats.org/officeDocument/2006/relationships/hyperlink" Target="http://cs.cv/" TargetMode="External"/><Relationship Id="rId125" Type="http://schemas.openxmlformats.org/officeDocument/2006/relationships/hyperlink" Target="https://ntrs.nasa.gov/api/citations/20250001849/downloads/NASA-TM-20250001849.pdf" TargetMode="External"/><Relationship Id="rId146" Type="http://schemas.openxmlformats.org/officeDocument/2006/relationships/hyperlink" Target="http://h2o.ai/" TargetMode="External"/><Relationship Id="rId167" Type="http://schemas.openxmlformats.org/officeDocument/2006/relationships/hyperlink" Target="http://yann.lecun.com/exdb/publis/pdf/lecun-01a.pdf" TargetMode="External"/><Relationship Id="rId188" Type="http://schemas.openxmlformats.org/officeDocument/2006/relationships/hyperlink" Target="http://www.h2o.ai/" TargetMode="External"/><Relationship Id="rId311" Type="http://schemas.openxmlformats.org/officeDocument/2006/relationships/hyperlink" Target="https://arxiv.org/abs/2209.07858" TargetMode="External"/><Relationship Id="rId332" Type="http://schemas.openxmlformats.org/officeDocument/2006/relationships/hyperlink" Target="https://arxiv.org/abs/2006.03463" TargetMode="External"/><Relationship Id="rId353" Type="http://schemas.openxmlformats.org/officeDocument/2006/relationships/hyperlink" Target="https://ai-challenges.nist.gov/uassets/ARIA_Program_Companion_Document_Dec20.pdf" TargetMode="External"/><Relationship Id="rId374" Type="http://schemas.openxmlformats.org/officeDocument/2006/relationships/hyperlink" Target="http://cs.ai/" TargetMode="External"/><Relationship Id="rId395" Type="http://schemas.openxmlformats.org/officeDocument/2006/relationships/hyperlink" Target="https://doi.org/10.48550/arXiv.2011.03395" TargetMode="External"/><Relationship Id="rId71" Type="http://schemas.openxmlformats.org/officeDocument/2006/relationships/hyperlink" Target="http://cs.cy/" TargetMode="External"/><Relationship Id="rId92" Type="http://schemas.openxmlformats.org/officeDocument/2006/relationships/hyperlink" Target="https://arxiv.org/pdf/1512.03385.pdf" TargetMode="External"/><Relationship Id="rId213" Type="http://schemas.openxmlformats.org/officeDocument/2006/relationships/hyperlink" Target="https://agreestat.com/papers/inter_rater_reliability_dependency.pdf" TargetMode="External"/><Relationship Id="rId234" Type="http://schemas.openxmlformats.org/officeDocument/2006/relationships/hyperlink" Target="http://www.iro.umontreal.ca/~bengioy/papers/ftml.pdf" TargetMode="External"/><Relationship Id="rId2" Type="http://schemas.openxmlformats.org/officeDocument/2006/relationships/hyperlink" Target="https://www.harpercollins.com/products/a-brief-history-of-intelligence-max-s-bennett" TargetMode="External"/><Relationship Id="rId29" Type="http://schemas.openxmlformats.org/officeDocument/2006/relationships/hyperlink" Target="https://www.telescopegp.com/insights/americans-use-ai-in-everyday-products-without-realizing-it" TargetMode="External"/><Relationship Id="rId255" Type="http://schemas.openxmlformats.org/officeDocument/2006/relationships/hyperlink" Target="https://dl.acm.org/doi/pdf/10.1145/3287560.3287596" TargetMode="External"/><Relationship Id="rId276" Type="http://schemas.openxmlformats.org/officeDocument/2006/relationships/hyperlink" Target="https://link.springer.com/in/book/9780387310732" TargetMode="External"/><Relationship Id="rId297" Type="http://schemas.openxmlformats.org/officeDocument/2006/relationships/hyperlink" Target="http://www.stat.berkeley.edu/~ledell/R/h2oEnsemble.pdf" TargetMode="External"/><Relationship Id="rId40" Type="http://schemas.openxmlformats.org/officeDocument/2006/relationships/hyperlink" Target="https://www.nature.com/articles/s41746-024-01106-8" TargetMode="External"/><Relationship Id="rId115" Type="http://schemas.openxmlformats.org/officeDocument/2006/relationships/hyperlink" Target="https://arxiv.org/abs/1301.3781" TargetMode="External"/><Relationship Id="rId136" Type="http://schemas.openxmlformats.org/officeDocument/2006/relationships/hyperlink" Target="https://arxiv.org/pdf/1104.3913.pdf" TargetMode="External"/><Relationship Id="rId157" Type="http://schemas.openxmlformats.org/officeDocument/2006/relationships/hyperlink" Target="https://iapp.org/resources/article/global-ai-legislation-tracker/" TargetMode="External"/><Relationship Id="rId178" Type="http://schemas.openxmlformats.org/officeDocument/2006/relationships/hyperlink" Target="https://jira.h2o.ai/" TargetMode="External"/><Relationship Id="rId301" Type="http://schemas.openxmlformats.org/officeDocument/2006/relationships/hyperlink" Target="http://cs.cl/" TargetMode="External"/><Relationship Id="rId322" Type="http://schemas.openxmlformats.org/officeDocument/2006/relationships/hyperlink" Target="https://www.jstor.org/stable/pdf/2746450.pdf" TargetMode="External"/><Relationship Id="rId343" Type="http://schemas.openxmlformats.org/officeDocument/2006/relationships/hyperlink" Target="https://papers.neurips.cc/paper/2019/file/4496bf24afe7fab6f046bf4923da8de6-Paper.pdf" TargetMode="External"/><Relationship Id="rId364" Type="http://schemas.openxmlformats.org/officeDocument/2006/relationships/hyperlink" Target="https://arxiv.org/abs/2504.20879" TargetMode="External"/><Relationship Id="rId61" Type="http://schemas.openxmlformats.org/officeDocument/2006/relationships/hyperlink" Target="http://h2o.ai/blog/2013/10/building-distributed-gbm-h2o/%7D" TargetMode="External"/><Relationship Id="rId82" Type="http://schemas.openxmlformats.org/officeDocument/2006/relationships/hyperlink" Target="http://cs.cy/" TargetMode="External"/><Relationship Id="rId199" Type="http://schemas.openxmlformats.org/officeDocument/2006/relationships/hyperlink" Target="https://nyaspubs.onlinelibrary.wiley.com/doi/abs/10.1111/nyas.15007" TargetMode="External"/><Relationship Id="rId203" Type="http://schemas.openxmlformats.org/officeDocument/2006/relationships/hyperlink" Target="https://www.oreilly.com/ideas/ideas-on-interpreting-machine-learning" TargetMode="External"/><Relationship Id="rId385" Type="http://schemas.openxmlformats.org/officeDocument/2006/relationships/hyperlink" Target="https://arxiv.org/abs/2312.02119" TargetMode="External"/><Relationship Id="rId19" Type="http://schemas.openxmlformats.org/officeDocument/2006/relationships/hyperlink" Target="http://nist.gov/" TargetMode="External"/><Relationship Id="rId224" Type="http://schemas.openxmlformats.org/officeDocument/2006/relationships/hyperlink" Target="http://cs.cl/" TargetMode="External"/><Relationship Id="rId245" Type="http://schemas.openxmlformats.org/officeDocument/2006/relationships/hyperlink" Target="https://arxiv.org/abs/2304.03271" TargetMode="External"/><Relationship Id="rId266" Type="http://schemas.openxmlformats.org/officeDocument/2006/relationships/hyperlink" Target="http://cs.ai/" TargetMode="External"/><Relationship Id="rId287" Type="http://schemas.openxmlformats.org/officeDocument/2006/relationships/hyperlink" Target="https://aclanthology.org/2022.acl-long.0/" TargetMode="External"/><Relationship Id="rId30" Type="http://schemas.openxmlformats.org/officeDocument/2006/relationships/hyperlink" Target="https://dl.acm.org/doi/pdf/10.1145/3468507.3468518" TargetMode="External"/><Relationship Id="rId105" Type="http://schemas.openxmlformats.org/officeDocument/2006/relationships/hyperlink" Target="https://arxiv.org/abs/1902.10811" TargetMode="External"/><Relationship Id="rId126" Type="http://schemas.openxmlformats.org/officeDocument/2006/relationships/hyperlink" Target="https://www.nature.com/articles/d41586-025-01125-9" TargetMode="External"/><Relationship Id="rId147" Type="http://schemas.openxmlformats.org/officeDocument/2006/relationships/hyperlink" Target="http://h2o.ai/" TargetMode="External"/><Relationship Id="rId168" Type="http://schemas.openxmlformats.org/officeDocument/2006/relationships/hyperlink" Target="http://yann.lecun.com/exdb/publis/pdf/lecun-01a.pdf" TargetMode="External"/><Relationship Id="rId312" Type="http://schemas.openxmlformats.org/officeDocument/2006/relationships/hyperlink" Target="http://cs.cl/" TargetMode="External"/><Relationship Id="rId333" Type="http://schemas.openxmlformats.org/officeDocument/2006/relationships/hyperlink" Target="https://aclanthology.org/D16-1264.pdf" TargetMode="External"/><Relationship Id="rId354" Type="http://schemas.openxmlformats.org/officeDocument/2006/relationships/hyperlink" Target="http://dx.doi.org/10.18653/v1/2024.acl-long.44" TargetMode="External"/><Relationship Id="rId51" Type="http://schemas.openxmlformats.org/officeDocument/2006/relationships/hyperlink" Target="https://aclanthology.org/N19-1423.pdf" TargetMode="External"/><Relationship Id="rId72" Type="http://schemas.openxmlformats.org/officeDocument/2006/relationships/hyperlink" Target="https://arxiv.org/abs/2406.10430" TargetMode="External"/><Relationship Id="rId93" Type="http://schemas.openxmlformats.org/officeDocument/2006/relationships/hyperlink" Target="https://arxiv.org/pdf/1512.03385.pdf" TargetMode="External"/><Relationship Id="rId189" Type="http://schemas.openxmlformats.org/officeDocument/2006/relationships/hyperlink" Target="http://www.h2o.ai/" TargetMode="External"/><Relationship Id="rId375" Type="http://schemas.openxmlformats.org/officeDocument/2006/relationships/hyperlink" Target="https://arxiv.org/abs/2503.05336" TargetMode="External"/><Relationship Id="rId396" Type="http://schemas.openxmlformats.org/officeDocument/2006/relationships/hyperlink" Target="https://files.consumerfinance.gov/f/201409_cfpb_report_proxy-methodology.pdf" TargetMode="External"/><Relationship Id="rId3" Type="http://schemas.openxmlformats.org/officeDocument/2006/relationships/hyperlink" Target="http://arxiv.org/abs/2204.09308" TargetMode="External"/><Relationship Id="rId214" Type="http://schemas.openxmlformats.org/officeDocument/2006/relationships/hyperlink" Target="http://christophm.github.io/" TargetMode="External"/><Relationship Id="rId235" Type="http://schemas.openxmlformats.org/officeDocument/2006/relationships/hyperlink" Target="https://work.caltech.edu/textbook.html" TargetMode="External"/><Relationship Id="rId256" Type="http://schemas.openxmlformats.org/officeDocument/2006/relationships/hyperlink" Target="https://www.fhfa.gov/advisory-bulletin/ab-2013-07" TargetMode="External"/><Relationship Id="rId277" Type="http://schemas.openxmlformats.org/officeDocument/2006/relationships/hyperlink" Target="https://arxiv.org/abs/2211.13972" TargetMode="External"/><Relationship Id="rId298" Type="http://schemas.openxmlformats.org/officeDocument/2006/relationships/hyperlink" Target="http://www.stat.berkeley.edu/~ledell/R/h2oEnsemble.pdf" TargetMode="External"/><Relationship Id="rId400" Type="http://schemas.openxmlformats.org/officeDocument/2006/relationships/hyperlink" Target="http://cs.cy/" TargetMode="External"/><Relationship Id="rId116" Type="http://schemas.openxmlformats.org/officeDocument/2006/relationships/hyperlink" Target="https://arxiv.org/pdf/2012.02972" TargetMode="External"/><Relationship Id="rId137" Type="http://schemas.openxmlformats.org/officeDocument/2006/relationships/hyperlink" Target="https://doi.org/10.48550/arXiv.1901.09749" TargetMode="External"/><Relationship Id="rId158" Type="http://schemas.openxmlformats.org/officeDocument/2006/relationships/hyperlink" Target="https://aclanthology.org/D14-1162.pdf" TargetMode="External"/><Relationship Id="rId302" Type="http://schemas.openxmlformats.org/officeDocument/2006/relationships/hyperlink" Target="https://arxiv.org/abs/2402.16822" TargetMode="External"/><Relationship Id="rId323" Type="http://schemas.openxmlformats.org/officeDocument/2006/relationships/hyperlink" Target="https://www.cftc.gov/media/10626/TAC_AIReport050224/download" TargetMode="External"/><Relationship Id="rId344" Type="http://schemas.openxmlformats.org/officeDocument/2006/relationships/hyperlink" Target="https://www.federalreserve.gov/supervisionreg/srletters/sr1107a1.pdf" TargetMode="External"/><Relationship Id="rId20" Type="http://schemas.openxmlformats.org/officeDocument/2006/relationships/hyperlink" Target="https://arxiv.org/pdf/2505.21808" TargetMode="External"/><Relationship Id="rId41" Type="http://schemas.openxmlformats.org/officeDocument/2006/relationships/hyperlink" Target="https://www.finra.org/sites/default/files/2020-06/ai-report-061020.pdf" TargetMode="External"/><Relationship Id="rId62" Type="http://schemas.openxmlformats.org/officeDocument/2006/relationships/hyperlink" Target="http://h2o.ai/blog/2013/10/building-distributed-gbm-h2o/" TargetMode="External"/><Relationship Id="rId83" Type="http://schemas.openxmlformats.org/officeDocument/2006/relationships/hyperlink" Target="https://arxiv.org/abs/2401.10899" TargetMode="External"/><Relationship Id="rId179" Type="http://schemas.openxmlformats.org/officeDocument/2006/relationships/hyperlink" Target="http://h2o-release.s3.amazonaws.com/h2o/latest_stable_Pydoc.html" TargetMode="External"/><Relationship Id="rId365" Type="http://schemas.openxmlformats.org/officeDocument/2006/relationships/hyperlink" Target="http://yann.lecun.com/exdb/mnist/" TargetMode="External"/><Relationship Id="rId386" Type="http://schemas.openxmlformats.org/officeDocument/2006/relationships/hyperlink" Target="https://dl.acm.org/doi/abs/10.1145/102377.115768" TargetMode="External"/><Relationship Id="rId190" Type="http://schemas.openxmlformats.org/officeDocument/2006/relationships/hyperlink" Target="http://www.h2o.ai/" TargetMode="External"/><Relationship Id="rId204" Type="http://schemas.openxmlformats.org/officeDocument/2006/relationships/hyperlink" Target="https://papers.nips.cc/paper/4824-imagenet-classification-with-deep-convolutional-neural-networks.pdf" TargetMode="External"/><Relationship Id="rId225" Type="http://schemas.openxmlformats.org/officeDocument/2006/relationships/hyperlink" Target="https://arxiv.org/abs/2306.05685" TargetMode="External"/><Relationship Id="rId246" Type="http://schemas.openxmlformats.org/officeDocument/2006/relationships/hyperlink" Target="https://www.forbes.com/sites/kevinomarah/2024/06/27/making-peace-with-gen-ai-as-job-killer/" TargetMode="External"/><Relationship Id="rId267" Type="http://schemas.openxmlformats.org/officeDocument/2006/relationships/hyperlink" Target="https://arxiv.org/abs/2307.15217" TargetMode="External"/><Relationship Id="rId288" Type="http://schemas.openxmlformats.org/officeDocument/2006/relationships/hyperlink" Target="https://github.com/dair-ai/Prompt-Engineering-Guide" TargetMode="External"/><Relationship Id="rId106" Type="http://schemas.openxmlformats.org/officeDocument/2006/relationships/hyperlink" Target="https://doi.org/10.1145/3543507.3583199" TargetMode="External"/><Relationship Id="rId127" Type="http://schemas.openxmlformats.org/officeDocument/2006/relationships/hyperlink" Target="https://www.pnas.org/doi/pdf/10.1073/pnas.2419055122" TargetMode="External"/><Relationship Id="rId313" Type="http://schemas.openxmlformats.org/officeDocument/2006/relationships/hyperlink" Target="https://arxiv.org/abs/2202.03286" TargetMode="External"/><Relationship Id="rId10" Type="http://schemas.openxmlformats.org/officeDocument/2006/relationships/hyperlink" Target="https://dl.acm.org/doi/pdf/10.1145/3703155" TargetMode="External"/><Relationship Id="rId31" Type="http://schemas.openxmlformats.org/officeDocument/2006/relationships/hyperlink" Target="https://doi.org/10.1016/j.nlp.2023.100024" TargetMode="External"/><Relationship Id="rId52" Type="http://schemas.openxmlformats.org/officeDocument/2006/relationships/hyperlink" Target="http://cs.ai/" TargetMode="External"/><Relationship Id="rId73" Type="http://schemas.openxmlformats.org/officeDocument/2006/relationships/hyperlink" Target="https://www.consumerfinance.gov/data-research/research-reports/chatbots-in-consumer-finance/chatbots-in-consumer-finance/" TargetMode="External"/><Relationship Id="rId94" Type="http://schemas.openxmlformats.org/officeDocument/2006/relationships/hyperlink" Target="https://openai.com/index/democratic-inputs-to-ai-grant-program-update/" TargetMode="External"/><Relationship Id="rId148" Type="http://schemas.openxmlformats.org/officeDocument/2006/relationships/hyperlink" Target="https://doi.org/10.1177/20539517241290220" TargetMode="External"/><Relationship Id="rId169" Type="http://schemas.openxmlformats.org/officeDocument/2006/relationships/hyperlink" Target="http://data.h2o.ai/" TargetMode="External"/><Relationship Id="rId334" Type="http://schemas.openxmlformats.org/officeDocument/2006/relationships/hyperlink" Target="https://projecteuclid.org/euclid.ss/1009213726" TargetMode="External"/><Relationship Id="rId355" Type="http://schemas.openxmlformats.org/officeDocument/2006/relationships/hyperlink" Target="https://arxiv.org/abs/2305.17493" TargetMode="External"/><Relationship Id="rId376" Type="http://schemas.openxmlformats.org/officeDocument/2006/relationships/hyperlink" Target="http://cs.ai/" TargetMode="External"/><Relationship Id="rId397" Type="http://schemas.openxmlformats.org/officeDocument/2006/relationships/hyperlink" Target="https://ojs.aaai.org/index.php/icwsm/article/view/14550" TargetMode="External"/><Relationship Id="rId4" Type="http://schemas.openxmlformats.org/officeDocument/2006/relationships/hyperlink" Target="https://www.whitehouse.gov/wp-content/uploads/2023/01/01-2023-Framework-for-Federal-Scientific-Integrity-Policy-and-Practice.pdf" TargetMode="External"/><Relationship Id="rId180" Type="http://schemas.openxmlformats.org/officeDocument/2006/relationships/hyperlink" Target="http://h2o-release.s3.amazonaws.com/h2o/latest_stable_Pydoc.html" TargetMode="External"/><Relationship Id="rId215" Type="http://schemas.openxmlformats.org/officeDocument/2006/relationships/hyperlink" Target="https://arxiv.org/pdf/1705.08504.pdf" TargetMode="External"/><Relationship Id="rId236" Type="http://schemas.openxmlformats.org/officeDocument/2006/relationships/hyperlink" Target="https://www.nature.com/articles/44565" TargetMode="External"/><Relationship Id="rId257" Type="http://schemas.openxmlformats.org/officeDocument/2006/relationships/hyperlink" Target="https://arxiv.org/abs/2302.12173v1" TargetMode="External"/><Relationship Id="rId278" Type="http://schemas.openxmlformats.org/officeDocument/2006/relationships/hyperlink" Target="https://aclanthology.org/2025.naacl-long.384/" TargetMode="External"/><Relationship Id="rId401" Type="http://schemas.openxmlformats.org/officeDocument/2006/relationships/hyperlink" Target="https://arxiv.org/abs/2503.04761" TargetMode="External"/><Relationship Id="rId303" Type="http://schemas.openxmlformats.org/officeDocument/2006/relationships/hyperlink" Target="https://www.stat.berkeley.edu/~breiman/randomforest2001.pdf" TargetMode="External"/><Relationship Id="rId42" Type="http://schemas.openxmlformats.org/officeDocument/2006/relationships/hyperlink" Target="https://doi.org/10.6028/NIST.AI.100-1" TargetMode="External"/><Relationship Id="rId84" Type="http://schemas.openxmlformats.org/officeDocument/2006/relationships/hyperlink" Target="https://sites.research.google/datacardsplaybook/" TargetMode="External"/><Relationship Id="rId138" Type="http://schemas.openxmlformats.org/officeDocument/2006/relationships/hyperlink" Target="https://arxiv.org/pdf/2009.01442" TargetMode="External"/><Relationship Id="rId345" Type="http://schemas.openxmlformats.org/officeDocument/2006/relationships/hyperlink" Target="https://doi.org/10.1162/coli.07-034-R2" TargetMode="External"/><Relationship Id="rId387" Type="http://schemas.openxmlformats.org/officeDocument/2006/relationships/hyperlink" Target="https://figshare.unimelb.edu.au/articles/report/Trust_attitudes_and_use_of_artificial_intelligence_A_global_study_2025/28822919" TargetMode="External"/><Relationship Id="rId191" Type="http://schemas.openxmlformats.org/officeDocument/2006/relationships/hyperlink" Target="http://www.h2o.ai/" TargetMode="External"/><Relationship Id="rId205" Type="http://schemas.openxmlformats.org/officeDocument/2006/relationships/hyperlink" Target="https://papers.nips.cc/paper/4824-imagenet-classification-with-deep-convolutional-neural-networks.pdf" TargetMode="External"/><Relationship Id="rId247" Type="http://schemas.openxmlformats.org/officeDocument/2006/relationships/hyperlink" Target="http://cs.cr/" TargetMode="External"/><Relationship Id="rId107" Type="http://schemas.openxmlformats.org/officeDocument/2006/relationships/hyperlink" Target="http://cs.cr/" TargetMode="External"/><Relationship Id="rId289" Type="http://schemas.openxmlformats.org/officeDocument/2006/relationships/hyperlink" Target="https://arxiv.org/abs/2306.05499" TargetMode="External"/><Relationship Id="rId11" Type="http://schemas.openxmlformats.org/officeDocument/2006/relationships/hyperlink" Target="http://papers.nips.cc/paper/7062-a-unified-approach-to-interpreting-model-predictions.pdf" TargetMode="External"/><Relationship Id="rId53" Type="http://schemas.openxmlformats.org/officeDocument/2006/relationships/hyperlink" Target="https://arxiv.org/abs/2310.07298" TargetMode="External"/><Relationship Id="rId149" Type="http://schemas.openxmlformats.org/officeDocument/2006/relationships/hyperlink" Target="https://arxiv.org/abs/2210.03535" TargetMode="External"/><Relationship Id="rId314" Type="http://schemas.openxmlformats.org/officeDocument/2006/relationships/hyperlink" Target="https://www.whitehouse.gov/ostp/news-updates/2023/08/29/red-teaming-large-language-models-to-identify-novel-ai-risks/" TargetMode="External"/><Relationship Id="rId356" Type="http://schemas.openxmlformats.org/officeDocument/2006/relationships/hyperlink" Target="https://arxiv.org/pdf/1805.03677" TargetMode="External"/><Relationship Id="rId398" Type="http://schemas.openxmlformats.org/officeDocument/2006/relationships/hyperlink" Target="https://journals.plos.org/plosmedicine/article?id=10.1371/journal.pmed.1002683" TargetMode="External"/><Relationship Id="rId95" Type="http://schemas.openxmlformats.org/officeDocument/2006/relationships/hyperlink" Target="https://www.wiley.com/en-us/shop/general-introductory-industrial-engineering/design-and-analysis-of-experiments-10th-edition-p-9781119492443" TargetMode="External"/><Relationship Id="rId160" Type="http://schemas.openxmlformats.org/officeDocument/2006/relationships/hyperlink" Target="https://arxiv.org/pdf/1409.4842.pdf" TargetMode="External"/><Relationship Id="rId216" Type="http://schemas.openxmlformats.org/officeDocument/2006/relationships/hyperlink" Target="https://pubmed.ncbi.nlm.nih.gov/23092060/" TargetMode="External"/><Relationship Id="rId258" Type="http://schemas.openxmlformats.org/officeDocument/2006/relationships/hyperlink" Target="https://aclanthology.org/2023.emnlp-demo.40" TargetMode="External"/><Relationship Id="rId22" Type="http://schemas.openxmlformats.org/officeDocument/2006/relationships/hyperlink" Target="https://assets.iqt.org/pdfs/IQTLabs_RoBERTaAudit_Dec2022_final.pdf/web/viewer.html" TargetMode="External"/><Relationship Id="rId64" Type="http://schemas.openxmlformats.org/officeDocument/2006/relationships/hyperlink" Target="http://arxiv.org/abs/2308.01222" TargetMode="External"/><Relationship Id="rId118" Type="http://schemas.openxmlformats.org/officeDocument/2006/relationships/hyperlink" Target="http://cs.cl/" TargetMode="External"/><Relationship Id="rId325" Type="http://schemas.openxmlformats.org/officeDocument/2006/relationships/hyperlink" Target="http://bnh.ai/" TargetMode="External"/><Relationship Id="rId367" Type="http://schemas.openxmlformats.org/officeDocument/2006/relationships/hyperlink" Target="https://pubmed.ncbi.nlm.nih.gov/36180361/" TargetMode="External"/><Relationship Id="rId171" Type="http://schemas.openxmlformats.org/officeDocument/2006/relationships/hyperlink" Target="http://docs.h2o.ai/" TargetMode="External"/><Relationship Id="rId227" Type="http://schemas.openxmlformats.org/officeDocument/2006/relationships/hyperlink" Target="https://arxiv.org/abs/2109.06598" TargetMode="External"/><Relationship Id="rId269" Type="http://schemas.openxmlformats.org/officeDocument/2006/relationships/hyperlink" Target="http://cs.cy/" TargetMode="External"/><Relationship Id="rId33" Type="http://schemas.openxmlformats.org/officeDocument/2006/relationships/hyperlink" Target="https://doi.org/10.1080/19312450709336664" TargetMode="External"/><Relationship Id="rId129" Type="http://schemas.openxmlformats.org/officeDocument/2006/relationships/hyperlink" Target="https://www.ncbi.nlm.nih.gov/pmc/articles/PMC8672933/" TargetMode="External"/><Relationship Id="rId280" Type="http://schemas.openxmlformats.org/officeDocument/2006/relationships/hyperlink" Target="http://cs.cy/" TargetMode="External"/><Relationship Id="rId336" Type="http://schemas.openxmlformats.org/officeDocument/2006/relationships/hyperlink" Target="https://arxiv.org/abs/2403.06634" TargetMode="External"/><Relationship Id="rId75" Type="http://schemas.openxmlformats.org/officeDocument/2006/relationships/hyperlink" Target="https://arxiv.org/abs/2412.13678" TargetMode="External"/><Relationship Id="rId140" Type="http://schemas.openxmlformats.org/officeDocument/2006/relationships/hyperlink" Target="http://h2o.ai/resources" TargetMode="External"/><Relationship Id="rId182" Type="http://schemas.openxmlformats.org/officeDocument/2006/relationships/hyperlink" Target="http://h2o-release.s3.amazonaws.com/h2o/latest_stable_Rdoc.html" TargetMode="External"/><Relationship Id="rId378" Type="http://schemas.openxmlformats.org/officeDocument/2006/relationships/hyperlink" Target="http://cs.cy/" TargetMode="External"/><Relationship Id="rId403" Type="http://schemas.openxmlformats.org/officeDocument/2006/relationships/hyperlink" Target="http://www.kdd.org/kdd2016/papers/files/rfp0573-ribeiroA.pdf" TargetMode="External"/><Relationship Id="rId6" Type="http://schemas.openxmlformats.org/officeDocument/2006/relationships/hyperlink" Target="http://arxiv.org/abs/2504.03359" TargetMode="External"/><Relationship Id="rId238" Type="http://schemas.openxmlformats.org/officeDocument/2006/relationships/hyperlink" Target="https://github.com/chawins/llm-sp" TargetMode="External"/><Relationship Id="rId291" Type="http://schemas.openxmlformats.org/officeDocument/2006/relationships/hyperlink" Target="http://web.stanford.edu/~boyd/papers/pdf/prox_algs.pdf" TargetMode="External"/><Relationship Id="rId305" Type="http://schemas.openxmlformats.org/officeDocument/2006/relationships/hyperlink" Target="http://jmlr.org/" TargetMode="External"/><Relationship Id="rId347" Type="http://schemas.openxmlformats.org/officeDocument/2006/relationships/hyperlink" Target="https://doi.org/10.48550/arXiv.2312.16337" TargetMode="External"/><Relationship Id="rId44" Type="http://schemas.openxmlformats.org/officeDocument/2006/relationships/hyperlink" Target="https://tsapps.nist.gov/publication/get_pdf.cfm?pub_id=958388" TargetMode="External"/><Relationship Id="rId86" Type="http://schemas.openxmlformats.org/officeDocument/2006/relationships/hyperlink" Target="https://dl.acm.org/doi/10.1145/3458723" TargetMode="External"/><Relationship Id="rId151" Type="http://schemas.openxmlformats.org/officeDocument/2006/relationships/hyperlink" Target="http://h2o.ai/resources" TargetMode="External"/><Relationship Id="rId389" Type="http://schemas.openxmlformats.org/officeDocument/2006/relationships/hyperlink" Target="https://adversa.ai/topic/trusted-ai-blog/" TargetMode="External"/><Relationship Id="rId193" Type="http://schemas.openxmlformats.org/officeDocument/2006/relationships/hyperlink" Target="https://groups.google.com/d/forum/h2ostream" TargetMode="External"/><Relationship Id="rId207" Type="http://schemas.openxmlformats.org/officeDocument/2006/relationships/hyperlink" Target="https://arxiv.org/pdf/2504.16743" TargetMode="External"/><Relationship Id="rId249" Type="http://schemas.openxmlformats.org/officeDocument/2006/relationships/hyperlink" Target="http://arxiv.org/pdf/1302.4389.pdf" TargetMode="External"/><Relationship Id="rId13" Type="http://schemas.openxmlformats.org/officeDocument/2006/relationships/hyperlink" Target="http://onlinelibrary.wiley.com/doi/10.1111/j.1365-2656.2008.01390.x/abstract" TargetMode="External"/><Relationship Id="rId109" Type="http://schemas.openxmlformats.org/officeDocument/2006/relationships/hyperlink" Target="http://arxiv.org/abs/1506.02142" TargetMode="External"/><Relationship Id="rId260" Type="http://schemas.openxmlformats.org/officeDocument/2006/relationships/hyperlink" Target="https://nvlpubs.nist.gov/nistpubs/ai/NIST.AI.100-3.pdf" TargetMode="External"/><Relationship Id="rId316" Type="http://schemas.openxmlformats.org/officeDocument/2006/relationships/hyperlink" Target="http://www.cs.toronto.edu/~hinton/science.pdf" TargetMode="External"/><Relationship Id="rId55" Type="http://schemas.openxmlformats.org/officeDocument/2006/relationships/hyperlink" Target="https://arxiv.org/abs/2407.21072" TargetMode="External"/><Relationship Id="rId97" Type="http://schemas.openxmlformats.org/officeDocument/2006/relationships/hyperlink" Target="https://arxiv.org/abs/2310.16789" TargetMode="External"/><Relationship Id="rId120" Type="http://schemas.openxmlformats.org/officeDocument/2006/relationships/hyperlink" Target="https://arxiv.org/pdf/2411.10939v1" TargetMode="External"/><Relationship Id="rId358" Type="http://schemas.openxmlformats.org/officeDocument/2006/relationships/hyperlink" Target="https://arxiv.org/abs/2310.13595" TargetMode="External"/><Relationship Id="rId162" Type="http://schemas.openxmlformats.org/officeDocument/2006/relationships/hyperlink" Target="https://www.oecd.org/en/publications/governing-with-artificial-intelligence_26324bc2-en.html" TargetMode="External"/><Relationship Id="rId218" Type="http://schemas.openxmlformats.org/officeDocument/2006/relationships/hyperlink" Target="https://www.iso.org/standard/40145.html" TargetMode="External"/><Relationship Id="rId271" Type="http://schemas.openxmlformats.org/officeDocument/2006/relationships/hyperlink" Target="https://owasp.org/www-project-top-10-for-large-language-model-applications/" TargetMode="External"/><Relationship Id="rId24" Type="http://schemas.openxmlformats.org/officeDocument/2006/relationships/hyperlink" Target="https://incidentdatabase.ai/" TargetMode="External"/><Relationship Id="rId66" Type="http://schemas.openxmlformats.org/officeDocument/2006/relationships/hyperlink" Target="http://cs.ai/" TargetMode="External"/><Relationship Id="rId131" Type="http://schemas.openxmlformats.org/officeDocument/2006/relationships/hyperlink" Target="https://www.usenix.org/conference/usenixsecurity21/presentation/carlini-extracting" TargetMode="External"/><Relationship Id="rId327" Type="http://schemas.openxmlformats.org/officeDocument/2006/relationships/hyperlink" Target="http://cs.ai/" TargetMode="External"/><Relationship Id="rId369" Type="http://schemas.openxmlformats.org/officeDocument/2006/relationships/hyperlink" Target="https://digital-transformation.hee.nhs.uk/building-a-digital-workforce/dart-ed/horizon-scanning/developing-healthcare-workers-confidence-in-ai/chapter-4-workforce-transformation/the-risk-of-deskilling" TargetMode="External"/><Relationship Id="rId173" Type="http://schemas.openxmlformats.org/officeDocument/2006/relationships/hyperlink" Target="https://github.com/h2oai" TargetMode="External"/><Relationship Id="rId229" Type="http://schemas.openxmlformats.org/officeDocument/2006/relationships/hyperlink" Target="https://www.science.org/doi/pdf/10.1126/science.adt9819" TargetMode="External"/><Relationship Id="rId380" Type="http://schemas.openxmlformats.org/officeDocument/2006/relationships/hyperlink" Target="https://www.oecd.org/content/dam/oecd/en/publications/reports/2025/02/towards-a-common-reporting-framework-for-ai-incidents_8c488fdb/f326d4ac-en.pdf" TargetMode="External"/><Relationship Id="rId240" Type="http://schemas.openxmlformats.org/officeDocument/2006/relationships/hyperlink" Target="https://arxiv.org/pdf/2106.09685v1/1000" TargetMode="External"/><Relationship Id="rId35" Type="http://schemas.openxmlformats.org/officeDocument/2006/relationships/hyperlink" Target="http://cs.cl/" TargetMode="External"/><Relationship Id="rId77" Type="http://schemas.openxmlformats.org/officeDocument/2006/relationships/hyperlink" Target="https://doi.org/10.1073/pnas.1110069108" TargetMode="External"/><Relationship Id="rId100" Type="http://schemas.openxmlformats.org/officeDocument/2006/relationships/hyperlink" Target="https://web.stanford.edu/~boyd/papers/pdf/admm_distr_stats.pdf" TargetMode="External"/><Relationship Id="rId282" Type="http://schemas.openxmlformats.org/officeDocument/2006/relationships/hyperlink" Target="https://arxiv.org/pdf/2311.16863" TargetMode="External"/><Relationship Id="rId338" Type="http://schemas.openxmlformats.org/officeDocument/2006/relationships/hyperlink" Target="https://arxiv.org/pdf/2004.09456" TargetMode="External"/><Relationship Id="rId8" Type="http://schemas.openxmlformats.org/officeDocument/2006/relationships/hyperlink" Target="https://arxiv.org/abs/2412.01934" TargetMode="External"/><Relationship Id="rId142" Type="http://schemas.openxmlformats.org/officeDocument/2006/relationships/hyperlink" Target="https://iopscience.iop.org/article/10.1088/1742-5468/2008/10/P10008/pdf" TargetMode="External"/><Relationship Id="rId184" Type="http://schemas.openxmlformats.org/officeDocument/2006/relationships/hyperlink" Target="http://h2o.ai/" TargetMode="External"/><Relationship Id="rId391" Type="http://schemas.openxmlformats.org/officeDocument/2006/relationships/hyperlink" Target="https://aclanthology.org/2022.acl-long.229.pdf" TargetMode="External"/><Relationship Id="rId405" Type="http://schemas.openxmlformats.org/officeDocument/2006/relationships/hyperlink" Target="https://arxiv.org/abs/2308.01263" TargetMode="External"/><Relationship Id="rId251" Type="http://schemas.openxmlformats.org/officeDocument/2006/relationships/hyperlink" Target="https://www.cambridge.org/core/journals/american-political-science-review/article/measurement-validity-a-shared-standard-for-qualitative-and-quantitative-research/91C7A9800DB26A76EBBABC5889A50C8B" TargetMode="External"/><Relationship Id="rId46" Type="http://schemas.openxmlformats.org/officeDocument/2006/relationships/hyperlink" Target="https://openaccess.thecvf.com/content_CVPR_2020/papers/Chiu_Assessing_Image_Quality_Issues_for_Real-World_Problems_CVPR_2020_paper.pdf" TargetMode="External"/><Relationship Id="rId293" Type="http://schemas.openxmlformats.org/officeDocument/2006/relationships/hyperlink" Target="http://cs.cr/" TargetMode="External"/><Relationship Id="rId307" Type="http://schemas.openxmlformats.org/officeDocument/2006/relationships/hyperlink" Target="https://link.springer.com/article/10.1007/s10506-024-09396-9" TargetMode="External"/><Relationship Id="rId349" Type="http://schemas.openxmlformats.org/officeDocument/2006/relationships/hyperlink" Target="http://www.vias.org/tmdatanaleng/index.html" TargetMode="External"/><Relationship Id="rId88" Type="http://schemas.openxmlformats.org/officeDocument/2006/relationships/hyperlink" Target="https://doi.org/10.48550/arXiv.2306.11698" TargetMode="External"/><Relationship Id="rId111" Type="http://schemas.openxmlformats.org/officeDocument/2006/relationships/hyperlink" Target="https://dl.acm.org/doi/10.1145/3593013.3594095" TargetMode="External"/><Relationship Id="rId153" Type="http://schemas.openxmlformats.org/officeDocument/2006/relationships/hyperlink" Target="https://hbr.org/2023/04/generative-ai-has-an-intellectual-property-problem" TargetMode="External"/><Relationship Id="rId195" Type="http://schemas.openxmlformats.org/officeDocument/2006/relationships/hyperlink" Target="https://www.sciencedirect.com/science/article/pii/S0004370221001065" TargetMode="External"/><Relationship Id="rId209" Type="http://schemas.openxmlformats.org/officeDocument/2006/relationships/hyperlink" Target="https://www.jmlr.org/papers/volume22/20-303/20-303.pdf" TargetMode="External"/><Relationship Id="rId360" Type="http://schemas.openxmlformats.org/officeDocument/2006/relationships/hyperlink" Target="https://arxiv.org/abs/2407.07786" TargetMode="External"/><Relationship Id="rId220" Type="http://schemas.openxmlformats.org/officeDocument/2006/relationships/hyperlink" Target="https://www.iso.org/standard/42005" TargetMode="External"/><Relationship Id="rId15" Type="http://schemas.openxmlformats.org/officeDocument/2006/relationships/hyperlink" Target="http://arxiv.org/pdf/1212.5701v1.pdf" TargetMode="External"/><Relationship Id="rId57" Type="http://schemas.openxmlformats.org/officeDocument/2006/relationships/hyperlink" Target="https://arxiv.org/abs/2206.04615" TargetMode="External"/><Relationship Id="rId262" Type="http://schemas.openxmlformats.org/officeDocument/2006/relationships/hyperlink" Target="https://www.consumerfinance.gov/rules-policy/regulations/1002/interp-0/" TargetMode="External"/><Relationship Id="rId318" Type="http://schemas.openxmlformats.org/officeDocument/2006/relationships/hyperlink" Target="http://statweb.stanford.edu/~tibs/lasso/lasso.pdf" TargetMode="External"/><Relationship Id="rId99" Type="http://schemas.openxmlformats.org/officeDocument/2006/relationships/hyperlink" Target="http://web.stanford.edu/?hastie/Papers/boost_discussion.pdf" TargetMode="External"/><Relationship Id="rId122" Type="http://schemas.openxmlformats.org/officeDocument/2006/relationships/hyperlink" Target="https://www.bipm.org/documents/20126/2071204/JCGM_100_2008_E.pdf/cb0ef43f-baa5-11cf-3f85-4dcd86f77bd6" TargetMode="External"/><Relationship Id="rId164" Type="http://schemas.openxmlformats.org/officeDocument/2006/relationships/hyperlink" Target="https://arxiv.org/abs/2303.08774" TargetMode="External"/><Relationship Id="rId371" Type="http://schemas.openxmlformats.org/officeDocument/2006/relationships/hyperlink" Target="http://dx.doi.org/10.35650/AIDP.4112.d.2025" TargetMode="External"/><Relationship Id="rId26" Type="http://schemas.openxmlformats.org/officeDocument/2006/relationships/hyperlink" Target="https://doi.org/10.6028/NIST.AI.200-1" TargetMode="External"/><Relationship Id="rId231" Type="http://schemas.openxmlformats.org/officeDocument/2006/relationships/hyperlink" Target="https://arxiv.org/abs/2207.07048" TargetMode="External"/><Relationship Id="rId273" Type="http://schemas.openxmlformats.org/officeDocument/2006/relationships/hyperlink" Target="https://arxiv.org/abs/2504.14452" TargetMode="External"/><Relationship Id="rId329" Type="http://schemas.openxmlformats.org/officeDocument/2006/relationships/hyperlink" Target="https://doi.org/10.1111/ijmr.12015" TargetMode="External"/><Relationship Id="rId68" Type="http://schemas.openxmlformats.org/officeDocument/2006/relationships/hyperlink" Target="http://cs.cl/" TargetMode="External"/><Relationship Id="rId133" Type="http://schemas.openxmlformats.org/officeDocument/2006/relationships/hyperlink" Target="https://arxiv.org/pdf/1911.05369" TargetMode="External"/><Relationship Id="rId175" Type="http://schemas.openxmlformats.org/officeDocument/2006/relationships/hyperlink" Target="https://github.com/h2oai/h2o/tree/master/docs/deeplearning/DeepLearningRVignetteDemo" TargetMode="External"/><Relationship Id="rId340" Type="http://schemas.openxmlformats.org/officeDocument/2006/relationships/hyperlink" Target="http://statweb.stanford.edu/~tibs/ftp/strong.pdf" TargetMode="External"/><Relationship Id="rId200" Type="http://schemas.openxmlformats.org/officeDocument/2006/relationships/hyperlink" Target="https://www.pewresearch.org/internet/2025/04/03/how-the-us-public-and-ai-experts-view-artificial-intelligence/" TargetMode="External"/><Relationship Id="rId382" Type="http://schemas.openxmlformats.org/officeDocument/2006/relationships/hyperlink" Target="https://doi.org/10.6028/NIST.SP.1270" TargetMode="External"/><Relationship Id="rId242" Type="http://schemas.openxmlformats.org/officeDocument/2006/relationships/hyperlink" Target="http://www.iiia.csic.es/~vtorra/tr-bias.pdf" TargetMode="External"/><Relationship Id="rId284" Type="http://schemas.openxmlformats.org/officeDocument/2006/relationships/hyperlink" Target="https://microsoft.github.io/presidio/" TargetMode="External"/><Relationship Id="rId37" Type="http://schemas.openxmlformats.org/officeDocument/2006/relationships/hyperlink" Target="https://datasets-benchmarks-proceedings.neurips.cc/paper_files/paper/2021/file/757b505cfd34c64c85ca5b5690ee5293-Paper-round2.pdf" TargetMode="External"/><Relationship Id="rId79" Type="http://schemas.openxmlformats.org/officeDocument/2006/relationships/hyperlink" Target="https://arxiv.org/pdf/2009.01311" TargetMode="External"/><Relationship Id="rId102" Type="http://schemas.openxmlformats.org/officeDocument/2006/relationships/hyperlink" Target="http://www.stat.cmu.edu/~ryantibs/papers/conformal.pdf" TargetMode="External"/><Relationship Id="rId144" Type="http://schemas.openxmlformats.org/officeDocument/2006/relationships/hyperlink" Target="https://doi.org/10.48550/arXiv.1911.02508" TargetMode="External"/><Relationship Id="rId90" Type="http://schemas.openxmlformats.org/officeDocument/2006/relationships/hyperlink" Target="http://h2o.ai/resources" TargetMode="External"/><Relationship Id="rId186" Type="http://schemas.openxmlformats.org/officeDocument/2006/relationships/hyperlink" Target="http://www.h2o.ai/" TargetMode="External"/><Relationship Id="rId351" Type="http://schemas.openxmlformats.org/officeDocument/2006/relationships/hyperlink" Target="https://arxiv.org/pdf/2005.05909" TargetMode="External"/><Relationship Id="rId393" Type="http://schemas.openxmlformats.org/officeDocument/2006/relationships/hyperlink" Target="https://www.pewresearch.org/social-trends/2025/02/25/u-s-workers-are-more-worried-than-hopeful-about-future-ai-use-in-the-workpla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C642"/>
  <sheetViews>
    <sheetView tabSelected="1" workbookViewId="0">
      <pane ySplit="1" topLeftCell="A361" activePane="bottomLeft" state="frozen"/>
      <selection pane="bottomLeft" activeCell="A413" sqref="A413"/>
    </sheetView>
  </sheetViews>
  <sheetFormatPr baseColWidth="10" defaultColWidth="12.6640625" defaultRowHeight="15.75" customHeight="1" x14ac:dyDescent="0.15"/>
  <cols>
    <col min="14" max="14" width="26.5" customWidth="1"/>
    <col min="50" max="50" width="39.83203125" customWidth="1"/>
    <col min="51" max="51" width="36.6640625" customWidth="1"/>
  </cols>
  <sheetData>
    <row r="1" spans="1:55" ht="15.7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spans="1:55" ht="15.75" customHeight="1" x14ac:dyDescent="0.15">
      <c r="G2" s="1" t="s">
        <v>55</v>
      </c>
      <c r="N2" s="1" t="str">
        <f ca="1">IFERROR(__xludf.DUMMYFUNCTION("CONCAT(LEFT(REGEXREPLACE(AX2, ""[^A-Za-z0-9]"", """"), 20), TEXT(ROW(AX2)-1, ""000""))"),"50YearsofDataScience001")</f>
        <v>50YearsofDataScience001</v>
      </c>
      <c r="T2" s="1" t="s">
        <v>56</v>
      </c>
      <c r="W2" s="1" t="s">
        <v>57</v>
      </c>
      <c r="AF2" s="1" t="s">
        <v>58</v>
      </c>
      <c r="AM2" s="1">
        <v>4</v>
      </c>
      <c r="AP2" s="1" t="s">
        <v>59</v>
      </c>
      <c r="AX2" s="1" t="s">
        <v>60</v>
      </c>
      <c r="AZ2" s="2" t="s">
        <v>61</v>
      </c>
      <c r="BB2" s="1">
        <v>26</v>
      </c>
      <c r="BC2" s="1">
        <v>2017</v>
      </c>
    </row>
    <row r="3" spans="1:55" ht="15.75" customHeight="1" x14ac:dyDescent="0.15">
      <c r="G3" s="1" t="s">
        <v>62</v>
      </c>
      <c r="M3" s="1" t="s">
        <v>63</v>
      </c>
      <c r="N3" s="1" t="str">
        <f ca="1">IFERROR(__xludf.DUMMYFUNCTION("CONCAT(LEFT(REGEXREPLACE(AX3, ""[^A-Za-z0-9]"", """"), 20), TEXT(ROW(AX3)-1, ""000""))"),"50YearsofTestUnFairn002")</f>
        <v>50YearsofTestUnFairn002</v>
      </c>
      <c r="W3" s="1" t="s">
        <v>64</v>
      </c>
      <c r="AL3" s="1" t="s">
        <v>65</v>
      </c>
      <c r="AP3" s="1" t="s">
        <v>66</v>
      </c>
      <c r="AX3" s="1" t="s">
        <v>67</v>
      </c>
      <c r="BC3" s="1">
        <v>2019</v>
      </c>
    </row>
    <row r="4" spans="1:55" ht="15.75" customHeight="1" x14ac:dyDescent="0.15">
      <c r="G4" s="1" t="s">
        <v>68</v>
      </c>
      <c r="N4" s="1" t="str">
        <f ca="1">IFERROR(__xludf.DUMMYFUNCTION("CONCAT(LEFT(REGEXREPLACE(AX4, ""[^A-Za-z0-9]"", """"), 20), TEXT(ROW(AX4)-1, ""000""))"),"ABriefHistoryofIntel003")</f>
        <v>ABriefHistoryofIntel003</v>
      </c>
      <c r="W4" s="1" t="s">
        <v>69</v>
      </c>
      <c r="AB4" s="1" t="s">
        <v>70</v>
      </c>
      <c r="AT4" s="1" t="s">
        <v>71</v>
      </c>
      <c r="AX4" s="1" t="s">
        <v>72</v>
      </c>
      <c r="AZ4" s="2" t="s">
        <v>73</v>
      </c>
      <c r="BC4" s="1">
        <v>2023</v>
      </c>
    </row>
    <row r="5" spans="1:55" ht="15.75" customHeight="1" x14ac:dyDescent="0.15">
      <c r="G5" s="1" t="s">
        <v>74</v>
      </c>
      <c r="N5" s="1" t="str">
        <f ca="1">IFERROR(__xludf.DUMMYFUNCTION("CONCAT(LEFT(REGEXREPLACE(AX5, ""[^A-Za-z0-9]"", """"), 20), TEXT(ROW(AX5)-1, ""000""))"),"Acollaborativehumanc004")</f>
        <v>Acollaborativehumanc004</v>
      </c>
      <c r="W5" s="1" t="s">
        <v>57</v>
      </c>
      <c r="AF5" s="1" t="s">
        <v>75</v>
      </c>
      <c r="AX5" s="1" t="s">
        <v>76</v>
      </c>
      <c r="AZ5" t="s">
        <v>2738</v>
      </c>
      <c r="BC5" s="1">
        <v>2024</v>
      </c>
    </row>
    <row r="6" spans="1:55" ht="15.75" customHeight="1" x14ac:dyDescent="0.15">
      <c r="G6" s="1" t="s">
        <v>77</v>
      </c>
      <c r="M6" s="1" t="s">
        <v>63</v>
      </c>
      <c r="N6" s="1" t="str">
        <f ca="1">IFERROR(__xludf.DUMMYFUNCTION("CONCAT(LEFT(REGEXREPLACE(AX6, ""[^A-Za-z0-9]"", """"), 20), TEXT(ROW(AX6)-1, ""000""))"),"AComparativeStudyofF005")</f>
        <v>AComparativeStudyofF005</v>
      </c>
      <c r="W6" s="1" t="s">
        <v>64</v>
      </c>
      <c r="AL6" s="1" t="s">
        <v>78</v>
      </c>
      <c r="AO6" s="1" t="s">
        <v>79</v>
      </c>
      <c r="AP6" s="1" t="s">
        <v>80</v>
      </c>
      <c r="AX6" s="1" t="s">
        <v>81</v>
      </c>
      <c r="BC6" s="1">
        <v>2019</v>
      </c>
    </row>
    <row r="7" spans="1:55" ht="15.75" customHeight="1" x14ac:dyDescent="0.15">
      <c r="A7" s="1" t="s">
        <v>82</v>
      </c>
      <c r="D7" s="1" t="s">
        <v>83</v>
      </c>
      <c r="G7" s="1" t="s">
        <v>84</v>
      </c>
      <c r="N7" s="1" t="str">
        <f ca="1">IFERROR(__xludf.DUMMYFUNCTION("CONCAT(LEFT(REGEXREPLACE(AX7, ""[^A-Za-z0-9]"", """"), 20), TEXT(ROW(AX7)-1, ""000""))"),"ADeeperLookintoAleat006")</f>
        <v>ADeeperLookintoAleat006</v>
      </c>
      <c r="T7" s="1" t="s">
        <v>85</v>
      </c>
      <c r="W7" s="1" t="s">
        <v>86</v>
      </c>
      <c r="Y7" s="1" t="s">
        <v>87</v>
      </c>
      <c r="AG7" s="1" t="s">
        <v>88</v>
      </c>
      <c r="AK7" s="1" t="s">
        <v>89</v>
      </c>
      <c r="AL7" s="1" t="s">
        <v>90</v>
      </c>
      <c r="AT7" s="1" t="s">
        <v>91</v>
      </c>
      <c r="AX7" s="1" t="s">
        <v>92</v>
      </c>
      <c r="AZ7" s="2" t="s">
        <v>93</v>
      </c>
      <c r="BA7" s="3">
        <v>45793</v>
      </c>
      <c r="BC7" s="1">
        <v>2022</v>
      </c>
    </row>
    <row r="8" spans="1:55" ht="15.75" customHeight="1" x14ac:dyDescent="0.15">
      <c r="G8" s="1" t="s">
        <v>94</v>
      </c>
      <c r="N8" s="1" t="str">
        <f ca="1">IFERROR(__xludf.DUMMYFUNCTION("CONCAT(LEFT(REGEXREPLACE(AX8, ""[^A-Za-z0-9]"", """"), 20), TEXT(ROW(AX8)-1, ""000""))"),"AFrameworkforFederal007")</f>
        <v>AFrameworkforFederal007</v>
      </c>
      <c r="W8" s="1" t="s">
        <v>95</v>
      </c>
      <c r="AA8" s="1" t="s">
        <v>96</v>
      </c>
      <c r="AX8" s="1" t="s">
        <v>97</v>
      </c>
      <c r="AZ8" s="2" t="s">
        <v>98</v>
      </c>
      <c r="BC8" s="1">
        <v>2023</v>
      </c>
    </row>
    <row r="9" spans="1:55" ht="15.75" customHeight="1" x14ac:dyDescent="0.15">
      <c r="G9" s="1" t="s">
        <v>99</v>
      </c>
      <c r="N9" s="1" t="str">
        <f ca="1">IFERROR(__xludf.DUMMYFUNCTION("CONCAT(LEFT(REGEXREPLACE(AX9, ""[^A-Za-z0-9]"", """"), 20), TEXT(ROW(AX9)-1, ""000""))"),"AFrameworkforFewShot008")</f>
        <v>AFrameworkforFewShot008</v>
      </c>
      <c r="W9" s="1" t="s">
        <v>86</v>
      </c>
      <c r="Z9" s="1" t="s">
        <v>100</v>
      </c>
      <c r="AX9" s="1" t="s">
        <v>101</v>
      </c>
      <c r="BC9" s="1">
        <v>2021</v>
      </c>
    </row>
    <row r="10" spans="1:55" ht="15.75" customHeight="1" x14ac:dyDescent="0.15">
      <c r="G10" s="1" t="s">
        <v>102</v>
      </c>
      <c r="N10" s="1" t="str">
        <f ca="1">IFERROR(__xludf.DUMMYFUNCTION("CONCAT(LEFT(REGEXREPLACE(AX10, ""[^A-Za-z0-9]"", """"), 20), TEXT(ROW(AX10)-1, ""000""))"),"AHolisticFrameworkfo009")</f>
        <v>AHolisticFrameworkfo009</v>
      </c>
      <c r="W10" s="1" t="s">
        <v>86</v>
      </c>
      <c r="AF10" s="1" t="s">
        <v>103</v>
      </c>
      <c r="AL10" s="1" t="s">
        <v>104</v>
      </c>
      <c r="AX10" s="1" t="s">
        <v>105</v>
      </c>
      <c r="BC10" s="1">
        <v>2025</v>
      </c>
    </row>
    <row r="11" spans="1:55" ht="15.75" customHeight="1" x14ac:dyDescent="0.15">
      <c r="G11" s="1" t="s">
        <v>106</v>
      </c>
      <c r="M11" s="1" t="s">
        <v>107</v>
      </c>
      <c r="N11" s="1" t="str">
        <f ca="1">IFERROR(__xludf.DUMMYFUNCTION("CONCAT(LEFT(REGEXREPLACE(AX11, ""[^A-Za-z0-9]"", """"), 20), TEXT(ROW(AX11)-1, ""000""))"),"Ahumancenteredevalua010")</f>
        <v>Ahumancenteredevalua010</v>
      </c>
      <c r="W11" s="1" t="s">
        <v>108</v>
      </c>
      <c r="AL11" s="1" t="s">
        <v>109</v>
      </c>
      <c r="AX11" s="1" t="s">
        <v>110</v>
      </c>
      <c r="AZ11" t="s">
        <v>2739</v>
      </c>
      <c r="BC11" s="1">
        <v>2020</v>
      </c>
    </row>
    <row r="12" spans="1:55" ht="15.75" customHeight="1" x14ac:dyDescent="0.15">
      <c r="A12" s="1" t="s">
        <v>111</v>
      </c>
      <c r="G12" s="1" t="s">
        <v>112</v>
      </c>
      <c r="N12" s="1" t="str">
        <f ca="1">IFERROR(__xludf.DUMMYFUNCTION("CONCAT(LEFT(REGEXREPLACE(AX12, ""[^A-Za-z0-9]"", """"), 20), TEXT(ROW(AX12)-1, ""000""))"),"ALifeCycleforTrustwo011")</f>
        <v>ALifeCycleforTrustwo011</v>
      </c>
      <c r="W12" s="1" t="s">
        <v>86</v>
      </c>
      <c r="Y12" s="1" t="s">
        <v>113</v>
      </c>
      <c r="AH12" s="1" t="s">
        <v>114</v>
      </c>
      <c r="AK12" s="1" t="s">
        <v>89</v>
      </c>
      <c r="AL12" s="1" t="s">
        <v>115</v>
      </c>
      <c r="AX12" s="1" t="s">
        <v>116</v>
      </c>
      <c r="AY12" s="1" t="s">
        <v>117</v>
      </c>
      <c r="AZ12" s="2" t="s">
        <v>118</v>
      </c>
      <c r="BA12" s="3">
        <v>45793</v>
      </c>
      <c r="BC12" s="1">
        <v>2024</v>
      </c>
    </row>
    <row r="13" spans="1:55" ht="15.75" customHeight="1" x14ac:dyDescent="0.15">
      <c r="G13" s="1" t="s">
        <v>119</v>
      </c>
      <c r="M13" s="1" t="s">
        <v>120</v>
      </c>
      <c r="N13" s="1" t="str">
        <f ca="1">IFERROR(__xludf.DUMMYFUNCTION("CONCAT(LEFT(REGEXREPLACE(AX13, ""[^A-Za-z0-9]"", """"), 20), TEXT(ROW(AX13)-1, ""000""))"),"AMaraudersMapofSecur012")</f>
        <v>AMaraudersMapofSecur012</v>
      </c>
      <c r="W13" s="1" t="s">
        <v>64</v>
      </c>
      <c r="AL13" s="1" t="s">
        <v>121</v>
      </c>
      <c r="AO13" s="1" t="s">
        <v>79</v>
      </c>
      <c r="AX13" s="1" t="s">
        <v>122</v>
      </c>
      <c r="BC13" s="1">
        <v>2018</v>
      </c>
    </row>
    <row r="14" spans="1:55" ht="15.75" customHeight="1" x14ac:dyDescent="0.15">
      <c r="A14" s="1" t="s">
        <v>123</v>
      </c>
      <c r="D14" s="1" t="s">
        <v>124</v>
      </c>
      <c r="G14" s="1" t="s">
        <v>125</v>
      </c>
      <c r="N14" s="1" t="str">
        <f ca="1">IFERROR(__xludf.DUMMYFUNCTION("CONCAT(LEFT(REGEXREPLACE(AX14, ""[^A-Za-z0-9]"", """"), 20), TEXT(ROW(AX14)-1, ""000""))"),"Ametrologicalframewo013")</f>
        <v>Ametrologicalframewo013</v>
      </c>
      <c r="T14" s="1" t="s">
        <v>126</v>
      </c>
      <c r="W14" s="1" t="s">
        <v>86</v>
      </c>
      <c r="Y14" s="1" t="s">
        <v>127</v>
      </c>
      <c r="AG14" s="1" t="s">
        <v>128</v>
      </c>
      <c r="AK14" s="1" t="s">
        <v>129</v>
      </c>
      <c r="AL14" s="1" t="s">
        <v>130</v>
      </c>
      <c r="AT14" s="1" t="s">
        <v>91</v>
      </c>
      <c r="AX14" s="1" t="s">
        <v>131</v>
      </c>
      <c r="AZ14" s="2" t="s">
        <v>132</v>
      </c>
      <c r="BA14" s="3">
        <v>45793</v>
      </c>
      <c r="BC14" s="1">
        <v>2025</v>
      </c>
    </row>
    <row r="15" spans="1:55" ht="15.75" customHeight="1" x14ac:dyDescent="0.15">
      <c r="G15" s="1" t="s">
        <v>133</v>
      </c>
      <c r="N15" s="1" t="str">
        <f ca="1">IFERROR(__xludf.DUMMYFUNCTION("CONCAT(LEFT(REGEXREPLACE(AX15, ""[^A-Za-z0-9]"", """"), 20), TEXT(ROW(AX15)-1, ""000""))"),"APowerPrimer014")</f>
        <v>APowerPrimer014</v>
      </c>
      <c r="W15" s="1" t="s">
        <v>57</v>
      </c>
      <c r="AF15" s="1" t="s">
        <v>134</v>
      </c>
      <c r="AL15" s="1" t="s">
        <v>135</v>
      </c>
      <c r="AM15" s="1">
        <v>1</v>
      </c>
      <c r="AP15" s="1">
        <v>155</v>
      </c>
      <c r="AT15" s="1" t="s">
        <v>136</v>
      </c>
      <c r="AX15" s="1" t="s">
        <v>137</v>
      </c>
      <c r="BB15" s="1">
        <v>112</v>
      </c>
      <c r="BC15" s="1">
        <v>1992</v>
      </c>
    </row>
    <row r="16" spans="1:55" ht="15.75" customHeight="1" x14ac:dyDescent="0.15">
      <c r="G16" s="1" t="s">
        <v>138</v>
      </c>
      <c r="N16" s="1" t="str">
        <f ca="1">IFERROR(__xludf.DUMMYFUNCTION("CONCAT(LEFT(REGEXREPLACE(AX16, ""[^A-Za-z0-9]"", """"), 20), TEXT(ROW(AX16)-1, ""000""))"),"AResponsibleMachineL015")</f>
        <v>AResponsibleMachineL015</v>
      </c>
      <c r="W16" s="1" t="s">
        <v>57</v>
      </c>
      <c r="AF16" s="1" t="s">
        <v>139</v>
      </c>
      <c r="AL16" s="1" t="s">
        <v>140</v>
      </c>
      <c r="AM16" s="1">
        <v>3</v>
      </c>
      <c r="AP16" s="1">
        <v>137</v>
      </c>
      <c r="AT16" s="1" t="s">
        <v>141</v>
      </c>
      <c r="AX16" s="1" t="s">
        <v>142</v>
      </c>
      <c r="BB16" s="1">
        <v>11</v>
      </c>
      <c r="BC16" s="1">
        <v>2020</v>
      </c>
    </row>
    <row r="17" spans="5:55" ht="15.75" customHeight="1" x14ac:dyDescent="0.15">
      <c r="G17" s="1" t="s">
        <v>143</v>
      </c>
      <c r="N17" s="1" t="str">
        <f ca="1">IFERROR(__xludf.DUMMYFUNCTION("CONCAT(LEFT(REGEXREPLACE(AX17, ""[^A-Za-z0-9]"", """"), 20), TEXT(ROW(AX17)-1, ""000""))"),"Areviewofsociotechni016")</f>
        <v>Areviewofsociotechni016</v>
      </c>
      <c r="W17" s="1" t="s">
        <v>57</v>
      </c>
      <c r="AF17" s="1" t="s">
        <v>144</v>
      </c>
      <c r="AM17" s="1">
        <v>6</v>
      </c>
      <c r="AP17" s="1" t="s">
        <v>145</v>
      </c>
      <c r="AT17" s="1" t="s">
        <v>146</v>
      </c>
      <c r="AX17" s="1" t="s">
        <v>147</v>
      </c>
      <c r="AZ17" t="s">
        <v>2740</v>
      </c>
      <c r="BB17" s="1">
        <v>9</v>
      </c>
      <c r="BC17" s="1">
        <v>2008</v>
      </c>
    </row>
    <row r="18" spans="5:55" ht="15.75" customHeight="1" x14ac:dyDescent="0.15">
      <c r="G18" s="1" t="s">
        <v>148</v>
      </c>
      <c r="N18" s="1" t="str">
        <f ca="1">IFERROR(__xludf.DUMMYFUNCTION("CONCAT(LEFT(REGEXREPLACE(AX18, ""[^A-Za-z0-9]"", """"), 20), TEXT(ROW(AX18)-1, ""000""))"),"Ascalableframeworkfo017")</f>
        <v>Ascalableframeworkfo017</v>
      </c>
      <c r="W18" s="1" t="s">
        <v>57</v>
      </c>
      <c r="AF18" s="1" t="s">
        <v>149</v>
      </c>
      <c r="AX18" s="1" t="s">
        <v>150</v>
      </c>
      <c r="AZ18" t="s">
        <v>2741</v>
      </c>
      <c r="BC18" s="1">
        <v>2020</v>
      </c>
    </row>
    <row r="19" spans="5:55" ht="15.75" customHeight="1" x14ac:dyDescent="0.15">
      <c r="E19" s="1" t="s">
        <v>91</v>
      </c>
      <c r="G19" s="1" t="s">
        <v>151</v>
      </c>
      <c r="N19" s="1" t="str">
        <f ca="1">IFERROR(__xludf.DUMMYFUNCTION("CONCAT(LEFT(REGEXREPLACE(AX19, ""[^A-Za-z0-9]"", """"), 20), TEXT(ROW(AX19)-1, ""000""))"),"ASharedStandardforVa018")</f>
        <v>ASharedStandardforVa018</v>
      </c>
      <c r="W19" s="1" t="s">
        <v>86</v>
      </c>
      <c r="X19" s="1">
        <v>2412.0193399999998</v>
      </c>
      <c r="AS19" s="2" t="s">
        <v>152</v>
      </c>
      <c r="AX19" s="1" t="s">
        <v>153</v>
      </c>
      <c r="AZ19" s="2" t="s">
        <v>154</v>
      </c>
      <c r="BC19" s="1">
        <v>2024</v>
      </c>
    </row>
    <row r="20" spans="5:55" ht="15.75" customHeight="1" x14ac:dyDescent="0.15">
      <c r="G20" s="1" t="s">
        <v>155</v>
      </c>
      <c r="N20" s="1" t="str">
        <f ca="1">IFERROR(__xludf.DUMMYFUNCTION("CONCAT(LEFT(REGEXREPLACE(AX20, ""[^A-Za-z0-9]"", """"), 20), TEXT(ROW(AX20)-1, ""000""))"),"ASummaryReportontheM019")</f>
        <v>ASummaryReportontheM019</v>
      </c>
      <c r="T20" s="1" t="s">
        <v>156</v>
      </c>
      <c r="W20" s="1" t="s">
        <v>95</v>
      </c>
      <c r="AA20" s="1" t="s">
        <v>157</v>
      </c>
      <c r="AM20" s="1" t="s">
        <v>158</v>
      </c>
      <c r="AX20" s="1" t="s">
        <v>159</v>
      </c>
      <c r="BC20" s="1">
        <v>2016</v>
      </c>
    </row>
    <row r="21" spans="5:55" ht="15.75" customHeight="1" x14ac:dyDescent="0.15">
      <c r="G21" s="1" t="s">
        <v>160</v>
      </c>
      <c r="N21" s="1" t="str">
        <f ca="1">IFERROR(__xludf.DUMMYFUNCTION("CONCAT(LEFT(REGEXREPLACE(AX21, ""[^A-Za-z0-9]"", """"), 20), TEXT(ROW(AX21)-1, ""000""))"),"ASurveyofMethodsforE020")</f>
        <v>ASurveyofMethodsforE020</v>
      </c>
      <c r="W21" s="1" t="s">
        <v>57</v>
      </c>
      <c r="AF21" s="1" t="s">
        <v>161</v>
      </c>
      <c r="AL21" s="1" t="s">
        <v>162</v>
      </c>
      <c r="AM21" s="1">
        <v>5</v>
      </c>
      <c r="AP21" s="1">
        <v>93</v>
      </c>
      <c r="AT21" s="1" t="s">
        <v>79</v>
      </c>
      <c r="AX21" s="1" t="s">
        <v>163</v>
      </c>
      <c r="BB21" s="1">
        <v>51</v>
      </c>
      <c r="BC21" s="1">
        <v>2018</v>
      </c>
    </row>
    <row r="22" spans="5:55" ht="15.75" customHeight="1" x14ac:dyDescent="0.15">
      <c r="G22" s="1" t="s">
        <v>164</v>
      </c>
      <c r="M22" s="1" t="s">
        <v>165</v>
      </c>
      <c r="N22" s="1" t="str">
        <f ca="1">IFERROR(__xludf.DUMMYFUNCTION("CONCAT(LEFT(REGEXREPLACE(AX22, ""[^A-Za-z0-9]"", """"), 20), TEXT(ROW(AX22)-1, ""000""))"),"ASurveyofMultimodelL021")</f>
        <v>ASurveyofMultimodelL021</v>
      </c>
      <c r="W22" s="1" t="s">
        <v>64</v>
      </c>
      <c r="AP22" s="1" t="s">
        <v>166</v>
      </c>
      <c r="AX22" s="1" t="s">
        <v>167</v>
      </c>
      <c r="AZ22" t="s">
        <v>2742</v>
      </c>
      <c r="BC22" s="1">
        <v>2024</v>
      </c>
    </row>
    <row r="23" spans="5:55" ht="15.75" customHeight="1" x14ac:dyDescent="0.15">
      <c r="G23" s="1" t="s">
        <v>168</v>
      </c>
      <c r="N23" s="1" t="str">
        <f ca="1">IFERROR(__xludf.DUMMYFUNCTION("CONCAT(LEFT(REGEXREPLACE(AX23, ""[^A-Za-z0-9]"", """"), 20), TEXT(ROW(AX23)-1, ""000""))"),"ASurveyonBiasandFair022")</f>
        <v>ASurveyonBiasandFair022</v>
      </c>
      <c r="W23" s="1" t="s">
        <v>57</v>
      </c>
      <c r="AF23" s="1" t="s">
        <v>169</v>
      </c>
      <c r="AM23" s="1">
        <v>6</v>
      </c>
      <c r="AP23" s="1" t="s">
        <v>170</v>
      </c>
      <c r="AT23" s="1" t="s">
        <v>171</v>
      </c>
      <c r="AX23" s="1" t="s">
        <v>172</v>
      </c>
      <c r="AZ23" s="2" t="s">
        <v>173</v>
      </c>
      <c r="BB23" s="1">
        <v>54</v>
      </c>
      <c r="BC23" s="1">
        <v>2021</v>
      </c>
    </row>
    <row r="24" spans="5:55" ht="15.75" customHeight="1" x14ac:dyDescent="0.15">
      <c r="G24" s="1" t="s">
        <v>174</v>
      </c>
      <c r="N24" s="1" t="str">
        <f ca="1">IFERROR(__xludf.DUMMYFUNCTION("CONCAT(LEFT(REGEXREPLACE(AX24, ""[^A-Za-z0-9]"", """"), 20), TEXT(ROW(AX24)-1, ""000""))"),"Asurveyonevaluationo023")</f>
        <v>Asurveyonevaluationo023</v>
      </c>
      <c r="W24" s="1" t="s">
        <v>57</v>
      </c>
      <c r="AF24" s="1" t="s">
        <v>175</v>
      </c>
      <c r="AM24" s="1">
        <v>3</v>
      </c>
      <c r="AP24" s="1" t="s">
        <v>176</v>
      </c>
      <c r="AT24" s="1" t="s">
        <v>177</v>
      </c>
      <c r="AX24" s="1" t="s">
        <v>178</v>
      </c>
      <c r="AZ24" t="s">
        <v>2743</v>
      </c>
      <c r="BB24" s="1">
        <v>15</v>
      </c>
      <c r="BC24" s="1">
        <v>2024</v>
      </c>
    </row>
    <row r="25" spans="5:55" ht="15.75" customHeight="1" x14ac:dyDescent="0.15">
      <c r="G25" s="1" t="s">
        <v>179</v>
      </c>
      <c r="N25" s="1" t="str">
        <f ca="1">IFERROR(__xludf.DUMMYFUNCTION("CONCAT(LEFT(REGEXREPLACE(AX25, ""[^A-Za-z0-9]"", """"), 20), TEXT(ROW(AX25)-1, ""000""))"),"ASurveyonHallucinati024")</f>
        <v>ASurveyonHallucinati024</v>
      </c>
      <c r="W25" s="1" t="s">
        <v>57</v>
      </c>
      <c r="AF25" s="1" t="s">
        <v>180</v>
      </c>
      <c r="AM25" s="1">
        <v>2</v>
      </c>
      <c r="AP25" s="1" t="s">
        <v>181</v>
      </c>
      <c r="AT25" s="1" t="s">
        <v>177</v>
      </c>
      <c r="AX25" s="1" t="s">
        <v>182</v>
      </c>
      <c r="AZ25" s="2" t="s">
        <v>183</v>
      </c>
      <c r="BB25" s="1">
        <v>43</v>
      </c>
      <c r="BC25" s="1">
        <v>2025</v>
      </c>
    </row>
    <row r="26" spans="5:55" ht="15.75" customHeight="1" x14ac:dyDescent="0.15">
      <c r="G26" s="1" t="s">
        <v>184</v>
      </c>
      <c r="N26" s="1" t="str">
        <f ca="1">IFERROR(__xludf.DUMMYFUNCTION("CONCAT(LEFT(REGEXREPLACE(AX26, ""[^A-Za-z0-9]"", """"), 20), TEXT(ROW(AX26)-1, ""000""))"),"Asurveyonsentimentan025")</f>
        <v>Asurveyonsentimentan025</v>
      </c>
      <c r="W26" s="1" t="s">
        <v>57</v>
      </c>
      <c r="AF26" s="1" t="s">
        <v>185</v>
      </c>
      <c r="AM26" s="1">
        <v>4</v>
      </c>
      <c r="AP26" s="1" t="s">
        <v>186</v>
      </c>
      <c r="AT26" s="1" t="s">
        <v>187</v>
      </c>
      <c r="AX26" s="1" t="s">
        <v>188</v>
      </c>
      <c r="AZ26" t="s">
        <v>2744</v>
      </c>
      <c r="BB26" s="1">
        <v>30</v>
      </c>
      <c r="BC26" s="1">
        <v>2018</v>
      </c>
    </row>
    <row r="27" spans="5:55" ht="15.75" customHeight="1" x14ac:dyDescent="0.15">
      <c r="G27" s="1" t="s">
        <v>189</v>
      </c>
      <c r="M27" s="1" t="s">
        <v>190</v>
      </c>
      <c r="N27" s="1" t="str">
        <f ca="1">IFERROR(__xludf.DUMMYFUNCTION("CONCAT(LEFT(REGEXREPLACE(AX27, ""[^A-Za-z0-9]"", """"), 20), TEXT(ROW(AX27)-1, ""000""))"),"ATreestructuredAppro026")</f>
        <v>ATreestructuredAppro026</v>
      </c>
      <c r="W27" s="1" t="s">
        <v>108</v>
      </c>
      <c r="AL27" s="1" t="s">
        <v>191</v>
      </c>
      <c r="AP27" s="1" t="s">
        <v>192</v>
      </c>
      <c r="AT27" s="1" t="s">
        <v>193</v>
      </c>
      <c r="AX27" s="1" t="s">
        <v>194</v>
      </c>
      <c r="BC27" s="1">
        <v>1979</v>
      </c>
    </row>
    <row r="28" spans="5:55" ht="15.75" customHeight="1" x14ac:dyDescent="0.15">
      <c r="G28" s="1" t="s">
        <v>195</v>
      </c>
      <c r="M28" s="1" t="s">
        <v>196</v>
      </c>
      <c r="N28" s="1" t="str">
        <f ca="1">IFERROR(__xludf.DUMMYFUNCTION("CONCAT(LEFT(REGEXREPLACE(AX28, ""[^A-Za-z0-9]"", """"), 20), TEXT(ROW(AX28)-1, ""000""))"),"AUnifiedApproachtoIn027")</f>
        <v>AUnifiedApproachtoIn027</v>
      </c>
      <c r="V28" s="1" t="s">
        <v>197</v>
      </c>
      <c r="W28" s="1" t="s">
        <v>108</v>
      </c>
      <c r="AP28" s="1" t="s">
        <v>198</v>
      </c>
      <c r="AT28" s="1" t="s">
        <v>199</v>
      </c>
      <c r="AX28" s="1" t="s">
        <v>200</v>
      </c>
      <c r="AZ28" s="2" t="s">
        <v>201</v>
      </c>
      <c r="BC28" s="1">
        <v>2017</v>
      </c>
    </row>
    <row r="29" spans="5:55" ht="15.75" customHeight="1" x14ac:dyDescent="0.15">
      <c r="G29" s="1" t="s">
        <v>202</v>
      </c>
      <c r="N29" s="1" t="str">
        <f ca="1">IFERROR(__xludf.DUMMYFUNCTION("CONCAT(LEFT(REGEXREPLACE(AX29, ""[^A-Za-z0-9]"", """"), 20), TEXT(ROW(AX29)-1, ""000""))"),"AUnitedStatesFairLen028")</f>
        <v>AUnitedStatesFairLen028</v>
      </c>
      <c r="W29" s="1" t="s">
        <v>57</v>
      </c>
      <c r="AF29" s="1" t="s">
        <v>203</v>
      </c>
      <c r="AL29" s="1" t="s">
        <v>204</v>
      </c>
      <c r="AX29" s="1" t="s">
        <v>205</v>
      </c>
      <c r="BB29" s="1">
        <v>4</v>
      </c>
      <c r="BC29" s="1">
        <v>2021</v>
      </c>
    </row>
    <row r="30" spans="5:55" ht="15.75" customHeight="1" x14ac:dyDescent="0.15">
      <c r="G30" s="1" t="s">
        <v>206</v>
      </c>
      <c r="N30" s="1" t="str">
        <f ca="1">IFERROR(__xludf.DUMMYFUNCTION("CONCAT(LEFT(REGEXREPLACE(AX30, ""[^A-Za-z0-9]"", """"), 20), TEXT(ROW(AX30)-1, ""000""))"),"AValueforNPersonGame029")</f>
        <v>AValueforNPersonGame029</v>
      </c>
      <c r="W30" s="1" t="s">
        <v>57</v>
      </c>
      <c r="AF30" s="1" t="s">
        <v>207</v>
      </c>
      <c r="AL30" s="1" t="s">
        <v>208</v>
      </c>
      <c r="AM30" s="1">
        <v>28</v>
      </c>
      <c r="AP30" s="1" t="s">
        <v>209</v>
      </c>
      <c r="AX30" s="1" t="s">
        <v>210</v>
      </c>
      <c r="BB30" s="1">
        <v>2</v>
      </c>
      <c r="BC30" s="1">
        <v>1953</v>
      </c>
    </row>
    <row r="31" spans="5:55" ht="15.75" customHeight="1" x14ac:dyDescent="0.15">
      <c r="G31" s="1" t="s">
        <v>211</v>
      </c>
      <c r="L31" s="2" t="s">
        <v>212</v>
      </c>
      <c r="N31" s="1" t="str">
        <f ca="1">IFERROR(__xludf.DUMMYFUNCTION("CONCAT(LEFT(REGEXREPLACE(AX31, ""[^A-Za-z0-9]"", """"), 20), TEXT(ROW(AX31)-1, ""000""))"),"AWorkingGuidetoBoost030")</f>
        <v>AWorkingGuidetoBoost030</v>
      </c>
      <c r="W31" s="1" t="s">
        <v>57</v>
      </c>
      <c r="AF31" s="1" t="s">
        <v>213</v>
      </c>
      <c r="AM31" s="1">
        <v>4</v>
      </c>
      <c r="AP31" s="1" t="s">
        <v>214</v>
      </c>
      <c r="AX31" s="1" t="s">
        <v>215</v>
      </c>
      <c r="AZ31" s="2" t="s">
        <v>212</v>
      </c>
      <c r="BB31" s="1">
        <v>77</v>
      </c>
      <c r="BC31" s="1">
        <v>2008</v>
      </c>
    </row>
    <row r="32" spans="5:55" ht="15.75" customHeight="1" x14ac:dyDescent="0.15">
      <c r="G32" s="1" t="s">
        <v>216</v>
      </c>
      <c r="M32" s="1" t="s">
        <v>217</v>
      </c>
      <c r="N32" s="1" t="str">
        <f ca="1">IFERROR(__xludf.DUMMYFUNCTION("CONCAT(LEFT(REGEXREPLACE(AX32, ""[^A-Za-z0-9]"", """"), 20), TEXT(ROW(AX32)-1, ""000""))"),"AccurateIntelligible031")</f>
        <v>AccurateIntelligible031</v>
      </c>
      <c r="W32" s="1" t="s">
        <v>64</v>
      </c>
      <c r="AL32" s="1" t="s">
        <v>218</v>
      </c>
      <c r="AO32" s="1" t="s">
        <v>79</v>
      </c>
      <c r="AP32" s="1" t="s">
        <v>219</v>
      </c>
      <c r="AX32" s="1" t="s">
        <v>220</v>
      </c>
      <c r="BC32" s="1">
        <v>2013</v>
      </c>
    </row>
    <row r="33" spans="7:55" ht="15.75" customHeight="1" x14ac:dyDescent="0.15">
      <c r="G33" s="1" t="s">
        <v>221</v>
      </c>
      <c r="M33" s="1" t="s">
        <v>222</v>
      </c>
      <c r="N33" s="1" t="str">
        <f ca="1">IFERROR(__xludf.DUMMYFUNCTION("CONCAT(LEFT(REGEXREPLACE(AX33, ""[^A-Za-z0-9]"", """"), 20), TEXT(ROW(AX33)-1, ""000""))"),"ActionableAuditingIn032")</f>
        <v>ActionableAuditingIn032</v>
      </c>
      <c r="W33" s="1" t="s">
        <v>64</v>
      </c>
      <c r="AL33" s="1" t="s">
        <v>223</v>
      </c>
      <c r="AX33" s="1" t="s">
        <v>224</v>
      </c>
      <c r="BB33" s="1">
        <v>1</v>
      </c>
      <c r="BC33" s="1">
        <v>2019</v>
      </c>
    </row>
    <row r="34" spans="7:55" ht="15.75" customHeight="1" x14ac:dyDescent="0.15">
      <c r="G34" s="1" t="s">
        <v>225</v>
      </c>
      <c r="L34" s="2" t="s">
        <v>226</v>
      </c>
      <c r="N34" s="1" t="str">
        <f ca="1">IFERROR(__xludf.DUMMYFUNCTION("CONCAT(LEFT(REGEXREPLACE(AX34, ""[^A-Za-z0-9]"", """"), 20), TEXT(ROW(AX34)-1, ""000""))"),"ADADELTAAnAdaptiveLe033")</f>
        <v>ADADELTAAnAdaptiveLe033</v>
      </c>
      <c r="W34" s="1" t="s">
        <v>64</v>
      </c>
      <c r="AX34" s="1" t="s">
        <v>227</v>
      </c>
      <c r="AZ34" s="2" t="s">
        <v>226</v>
      </c>
      <c r="BC34" s="1">
        <v>2012</v>
      </c>
    </row>
    <row r="35" spans="7:55" ht="15.75" customHeight="1" x14ac:dyDescent="0.15">
      <c r="G35" s="1" t="s">
        <v>228</v>
      </c>
      <c r="N35" s="1" t="str">
        <f ca="1">IFERROR(__xludf.DUMMYFUNCTION("CONCAT(LEFT(REGEXREPLACE(AX35, ""[^A-Za-z0-9]"", """"), 20), TEXT(ROW(AX35)-1, ""000""))"),"AddingStructuretoAIH034")</f>
        <v>AddingStructuretoAIH034</v>
      </c>
      <c r="W35" s="1" t="s">
        <v>86</v>
      </c>
      <c r="Z35" s="1" t="s">
        <v>229</v>
      </c>
      <c r="AX35" s="1" t="s">
        <v>230</v>
      </c>
      <c r="BC35" s="1">
        <v>2023</v>
      </c>
    </row>
    <row r="36" spans="7:55" ht="15.75" customHeight="1" x14ac:dyDescent="0.15">
      <c r="G36" s="1" t="s">
        <v>231</v>
      </c>
      <c r="L36" s="2" t="s">
        <v>232</v>
      </c>
      <c r="N36" s="1" t="str">
        <f ca="1">IFERROR(__xludf.DUMMYFUNCTION("CONCAT(LEFT(REGEXREPLACE(AX36, ""[^A-Za-z0-9]"", """"), 20), TEXT(ROW(AX36)-1, ""000""))"),"AdditiveLogisticRegr035")</f>
        <v>AdditiveLogisticRegr035</v>
      </c>
      <c r="W36" s="1" t="s">
        <v>57</v>
      </c>
      <c r="AF36" s="1" t="s">
        <v>233</v>
      </c>
      <c r="AP36" s="1">
        <v>2000</v>
      </c>
      <c r="AX36" s="1" t="s">
        <v>234</v>
      </c>
      <c r="AZ36" s="1" t="s">
        <v>235</v>
      </c>
      <c r="BB36" s="1">
        <v>28</v>
      </c>
      <c r="BC36" s="1">
        <v>1998</v>
      </c>
    </row>
    <row r="37" spans="7:55" ht="15.75" customHeight="1" x14ac:dyDescent="0.15">
      <c r="G37" s="1" t="s">
        <v>236</v>
      </c>
      <c r="N37" s="1" t="str">
        <f ca="1">IFERROR(__xludf.DUMMYFUNCTION("CONCAT(LEFT(REGEXREPLACE(AX37, ""[^A-Za-z0-9]"", """"), 20), TEXT(ROW(AX37)-1, ""000""))"),"AdverseActionNotific036")</f>
        <v>AdverseActionNotific036</v>
      </c>
      <c r="W37" s="1" t="s">
        <v>86</v>
      </c>
      <c r="AA37" s="1" t="s">
        <v>236</v>
      </c>
      <c r="AK37" s="1" t="s">
        <v>129</v>
      </c>
      <c r="AX37" s="1" t="s">
        <v>237</v>
      </c>
      <c r="AZ37" s="2" t="s">
        <v>238</v>
      </c>
      <c r="BC37" s="1">
        <v>2022</v>
      </c>
    </row>
    <row r="38" spans="7:55" ht="15.75" customHeight="1" x14ac:dyDescent="0.15">
      <c r="G38" s="1" t="s">
        <v>239</v>
      </c>
      <c r="N38" s="1" t="str">
        <f ca="1">IFERROR(__xludf.DUMMYFUNCTION("CONCAT(LEFT(REGEXREPLACE(AX38, ""[^A-Za-z0-9]"", """"), 20), TEXT(ROW(AX38)-1, ""000""))"),"AdvisoryBulletin2022037")</f>
        <v>AdvisoryBulletin2022037</v>
      </c>
      <c r="S38" s="1">
        <v>21</v>
      </c>
      <c r="W38" s="1" t="s">
        <v>86</v>
      </c>
      <c r="AA38" s="1" t="s">
        <v>240</v>
      </c>
      <c r="AK38" s="1" t="s">
        <v>241</v>
      </c>
      <c r="AX38" s="1" t="s">
        <v>242</v>
      </c>
      <c r="AZ38" s="2" t="s">
        <v>243</v>
      </c>
      <c r="BC38" s="1">
        <v>2022</v>
      </c>
    </row>
    <row r="39" spans="7:55" ht="15.75" customHeight="1" x14ac:dyDescent="0.15">
      <c r="G39" s="1" t="s">
        <v>244</v>
      </c>
      <c r="N39" s="1" t="str">
        <f ca="1">IFERROR(__xludf.DUMMYFUNCTION("CONCAT(LEFT(REGEXREPLACE(AX39, ""[^A-Za-z0-9]"", """"), 20), TEXT(ROW(AX39)-1, ""000""))"),"Aggregatedindividual038")</f>
        <v>Aggregatedindividual038</v>
      </c>
      <c r="W39" s="1" t="s">
        <v>86</v>
      </c>
      <c r="AF39" s="1" t="s">
        <v>245</v>
      </c>
      <c r="AL39" s="1" t="s">
        <v>246</v>
      </c>
      <c r="AX39" s="1" t="s">
        <v>247</v>
      </c>
      <c r="AZ39" t="s">
        <v>2745</v>
      </c>
      <c r="BC39" s="1">
        <v>2025</v>
      </c>
    </row>
    <row r="40" spans="7:55" ht="15.75" customHeight="1" x14ac:dyDescent="0.15">
      <c r="G40" s="1" t="s">
        <v>248</v>
      </c>
      <c r="N40" s="1" t="str">
        <f ca="1">IFERROR(__xludf.DUMMYFUNCTION("CONCAT(LEFT(REGEXREPLACE(AX40, ""[^A-Za-z0-9]"", """"), 20), TEXT(ROW(AX40)-1, ""000""))"),"AI6001GenerativeAIRi039")</f>
        <v>AI6001GenerativeAIRi039</v>
      </c>
      <c r="W40" s="1" t="s">
        <v>57</v>
      </c>
      <c r="AF40" s="2" t="s">
        <v>249</v>
      </c>
      <c r="AL40" s="1" t="s">
        <v>250</v>
      </c>
      <c r="AX40" s="1" t="s">
        <v>251</v>
      </c>
      <c r="BC40" s="1">
        <v>2024</v>
      </c>
    </row>
    <row r="41" spans="7:55" ht="15.75" customHeight="1" x14ac:dyDescent="0.15">
      <c r="G41" s="1" t="s">
        <v>252</v>
      </c>
      <c r="N41" s="1" t="str">
        <f ca="1">IFERROR(__xludf.DUMMYFUNCTION("CONCAT(LEFT(REGEXREPLACE(AX41, ""[^A-Za-z0-9]"", """"), 20), TEXT(ROW(AX41)-1, ""000""))"),"AIAgentGovernanceAFi040")</f>
        <v>AIAgentGovernanceAFi040</v>
      </c>
      <c r="W41" s="1" t="s">
        <v>57</v>
      </c>
      <c r="AF41" s="1" t="s">
        <v>253</v>
      </c>
      <c r="AX41" s="1" t="s">
        <v>254</v>
      </c>
      <c r="AZ41" s="2" t="s">
        <v>255</v>
      </c>
      <c r="BC41" s="1">
        <v>2025</v>
      </c>
    </row>
    <row r="42" spans="7:55" ht="15.75" customHeight="1" x14ac:dyDescent="0.15">
      <c r="G42" s="1" t="s">
        <v>256</v>
      </c>
      <c r="M42" s="1" t="s">
        <v>257</v>
      </c>
      <c r="N42" s="1" t="str">
        <f ca="1">IFERROR(__xludf.DUMMYFUNCTION("CONCAT(LEFT(REGEXREPLACE(AX42, ""[^A-Za-z0-9]"", """"), 20), TEXT(ROW(AX42)-1, ""000""))"),"AIandtheEverythingin041")</f>
        <v>AIandtheEverythingin041</v>
      </c>
      <c r="V42" s="1" t="s">
        <v>258</v>
      </c>
      <c r="W42" s="1" t="s">
        <v>64</v>
      </c>
      <c r="AX42" s="1" t="s">
        <v>259</v>
      </c>
      <c r="AZ42" s="2" t="s">
        <v>260</v>
      </c>
      <c r="BB42" s="1">
        <v>1</v>
      </c>
      <c r="BC42" s="1">
        <v>2021</v>
      </c>
    </row>
    <row r="43" spans="7:55" ht="15.75" customHeight="1" x14ac:dyDescent="0.15">
      <c r="G43" s="1" t="s">
        <v>261</v>
      </c>
      <c r="N43" s="1" t="str">
        <f ca="1">IFERROR(__xludf.DUMMYFUNCTION("CONCAT(LEFT(REGEXREPLACE(AX43, ""[^A-Za-z0-9]"", """"), 20), TEXT(ROW(AX43)-1, ""000""))"),"AIAssuranceAuditofRo042")</f>
        <v>AIAssuranceAuditofRo042</v>
      </c>
      <c r="W43" s="1" t="s">
        <v>86</v>
      </c>
      <c r="AT43" s="1" t="s">
        <v>262</v>
      </c>
      <c r="AX43" s="1" t="s">
        <v>263</v>
      </c>
      <c r="AZ43" s="2" t="s">
        <v>264</v>
      </c>
      <c r="BC43" s="1">
        <v>2022</v>
      </c>
    </row>
    <row r="44" spans="7:55" ht="15.75" customHeight="1" x14ac:dyDescent="0.15">
      <c r="G44" s="1" t="s">
        <v>265</v>
      </c>
      <c r="N44" s="1" t="str">
        <f ca="1">IFERROR(__xludf.DUMMYFUNCTION("CONCAT(LEFT(REGEXREPLACE(AX44, ""[^A-Za-z0-9]"", """"), 20), TEXT(ROW(AX44)-1, ""000""))"),"AIFairness360AnExten043")</f>
        <v>AIFairness360AnExten043</v>
      </c>
      <c r="W44" s="1" t="s">
        <v>86</v>
      </c>
      <c r="AK44" s="1" t="s">
        <v>266</v>
      </c>
      <c r="AX44" s="1" t="s">
        <v>267</v>
      </c>
      <c r="AZ44" s="2" t="s">
        <v>268</v>
      </c>
      <c r="BC44" s="1">
        <v>2018</v>
      </c>
    </row>
    <row r="45" spans="7:55" ht="15.75" customHeight="1" x14ac:dyDescent="0.15">
      <c r="G45" s="1" t="s">
        <v>269</v>
      </c>
      <c r="N45" s="1" t="str">
        <f ca="1">IFERROR(__xludf.DUMMYFUNCTION("CONCAT(LEFT(REGEXREPLACE(AX45, ""[^A-Za-z0-9]"", """"), 20), TEXT(ROW(AX45)-1, ""000""))"),"AIgeneratescovertlyr044")</f>
        <v>AIgeneratescovertlyr044</v>
      </c>
      <c r="W45" s="1" t="s">
        <v>57</v>
      </c>
      <c r="AF45" s="1" t="s">
        <v>270</v>
      </c>
      <c r="AP45" s="1" t="s">
        <v>271</v>
      </c>
      <c r="AT45" s="1" t="s">
        <v>272</v>
      </c>
      <c r="AX45" s="1" t="s">
        <v>273</v>
      </c>
      <c r="AZ45" t="s">
        <v>2695</v>
      </c>
      <c r="BC45" s="1">
        <v>2024</v>
      </c>
    </row>
    <row r="46" spans="7:55" ht="15.75" customHeight="1" x14ac:dyDescent="0.15">
      <c r="G46" s="1" t="s">
        <v>274</v>
      </c>
      <c r="N46" s="1" t="str">
        <f ca="1">IFERROR(__xludf.DUMMYFUNCTION("CONCAT(LEFT(REGEXREPLACE(AX46, ""[^A-Za-z0-9]"", """"), 20), TEXT(ROW(AX46)-1, ""000""))"),"AIIncidentDatabase045")</f>
        <v>AIIncidentDatabase045</v>
      </c>
      <c r="W46" s="1" t="s">
        <v>86</v>
      </c>
      <c r="AX46" s="1" t="s">
        <v>275</v>
      </c>
      <c r="AZ46" s="2" t="s">
        <v>276</v>
      </c>
      <c r="BC46" s="1">
        <v>2024</v>
      </c>
    </row>
    <row r="47" spans="7:55" ht="15.75" customHeight="1" x14ac:dyDescent="0.15">
      <c r="G47" s="1"/>
      <c r="N47" s="1"/>
      <c r="W47" s="1"/>
      <c r="AF47" s="1"/>
      <c r="AX47" s="1"/>
      <c r="BC47" s="1"/>
    </row>
    <row r="48" spans="7:55" ht="15.75" customHeight="1" x14ac:dyDescent="0.15">
      <c r="G48" s="1" t="s">
        <v>277</v>
      </c>
      <c r="N48" s="1" t="str">
        <f ca="1">IFERROR(__xludf.DUMMYFUNCTION("CONCAT(LEFT(REGEXREPLACE(AX48, ""[^A-Za-z0-9]"", """"), 20), TEXT(ROW(AX48)-1, ""000""))"),"AIsafetyisanarrative047")</f>
        <v>AIsafetyisanarrative047</v>
      </c>
      <c r="W48" s="1" t="s">
        <v>57</v>
      </c>
      <c r="AF48" s="1" t="s">
        <v>278</v>
      </c>
      <c r="AX48" s="1" t="s">
        <v>279</v>
      </c>
      <c r="AZ48" t="s">
        <v>2746</v>
      </c>
      <c r="BC48" s="1">
        <v>2024</v>
      </c>
    </row>
    <row r="49" spans="1:55" ht="15.75" customHeight="1" x14ac:dyDescent="0.15">
      <c r="G49" s="1" t="s">
        <v>280</v>
      </c>
      <c r="N49" s="1" t="str">
        <f ca="1">IFERROR(__xludf.DUMMYFUNCTION("CONCAT(LEFT(REGEXREPLACE(AX49, ""[^A-Za-z0-9]"", """"), 20), TEXT(ROW(AX49)-1, ""000""))"),"AISustainabilityinPr048")</f>
        <v>AISustainabilityinPr048</v>
      </c>
      <c r="W49" s="1" t="s">
        <v>86</v>
      </c>
      <c r="Z49" s="2" t="s">
        <v>281</v>
      </c>
      <c r="AX49" s="1" t="s">
        <v>282</v>
      </c>
      <c r="BC49" s="1">
        <v>2024</v>
      </c>
    </row>
    <row r="50" spans="1:55" ht="15.75" customHeight="1" x14ac:dyDescent="0.15">
      <c r="G50" s="1" t="s">
        <v>283</v>
      </c>
      <c r="N50" s="1" t="str">
        <f ca="1">IFERROR(__xludf.DUMMYFUNCTION("CONCAT(LEFT(REGEXREPLACE(AX50, ""[^A-Za-z0-9]"", """"), 20), TEXT(ROW(AX50)-1, ""000""))"),"AIUseTaxonomyAHumanC049")</f>
        <v>AIUseTaxonomyAHumanC049</v>
      </c>
      <c r="T50" s="1" t="s">
        <v>284</v>
      </c>
      <c r="W50" s="1" t="s">
        <v>95</v>
      </c>
      <c r="AA50" s="1" t="s">
        <v>285</v>
      </c>
      <c r="AM50" s="1" t="s">
        <v>286</v>
      </c>
      <c r="AX50" s="1" t="s">
        <v>287</v>
      </c>
      <c r="AZ50" s="2" t="s">
        <v>288</v>
      </c>
      <c r="BC50" s="1">
        <v>2024</v>
      </c>
    </row>
    <row r="51" spans="1:55" ht="15.75" customHeight="1" x14ac:dyDescent="0.15">
      <c r="G51" s="1" t="s">
        <v>289</v>
      </c>
      <c r="M51" s="1" t="s">
        <v>290</v>
      </c>
      <c r="N51" s="1" t="str">
        <f ca="1">IFERROR(__xludf.DUMMYFUNCTION("CONCAT(LEFT(REGEXREPLACE(AX51, ""[^A-Za-z0-9]"", """"), 20), TEXT(ROW(AX51)-1, ""000""))"),"AILIEDARExaminethetr050")</f>
        <v>AILIEDARExaminethetr050</v>
      </c>
      <c r="W51" s="1" t="s">
        <v>64</v>
      </c>
      <c r="AP51" s="1" t="s">
        <v>291</v>
      </c>
      <c r="AX51" s="1" t="s">
        <v>292</v>
      </c>
      <c r="AZ51" s="2" t="s">
        <v>293</v>
      </c>
      <c r="BC51" s="1">
        <v>2025</v>
      </c>
    </row>
    <row r="52" spans="1:55" ht="15.75" customHeight="1" x14ac:dyDescent="0.15">
      <c r="G52" s="1" t="s">
        <v>294</v>
      </c>
      <c r="N52" s="1" t="str">
        <f ca="1">IFERROR(__xludf.DUMMYFUNCTION("CONCAT(LEFT(REGEXREPLACE(AX52, ""[^A-Za-z0-9]"", """"), 20), TEXT(ROW(AX52)-1, ""000""))"),"AlgorithmicBiasandRi051")</f>
        <v>AlgorithmicBiasandRi051</v>
      </c>
      <c r="W52" s="1" t="s">
        <v>57</v>
      </c>
      <c r="AF52" s="1" t="s">
        <v>295</v>
      </c>
      <c r="AL52" s="1" t="s">
        <v>296</v>
      </c>
      <c r="AM52" s="1">
        <v>2</v>
      </c>
      <c r="AP52" s="1">
        <v>14</v>
      </c>
      <c r="AT52" s="1" t="s">
        <v>193</v>
      </c>
      <c r="AX52" s="1" t="s">
        <v>297</v>
      </c>
      <c r="BB52" s="1">
        <v>1</v>
      </c>
      <c r="BC52" s="1">
        <v>2022</v>
      </c>
    </row>
    <row r="53" spans="1:55" ht="15.75" customHeight="1" x14ac:dyDescent="0.15">
      <c r="G53" s="1" t="s">
        <v>298</v>
      </c>
      <c r="N53" s="1" t="str">
        <f ca="1">IFERROR(__xludf.DUMMYFUNCTION("CONCAT(LEFT(REGEXREPLACE(AX53, ""[^A-Za-z0-9]"", """"), 20), TEXT(ROW(AX53)-1, ""000""))"),"AlgorithmicImpactAss052")</f>
        <v>AlgorithmicImpactAss052</v>
      </c>
      <c r="W53" s="1" t="s">
        <v>57</v>
      </c>
      <c r="AF53" s="1" t="s">
        <v>299</v>
      </c>
      <c r="AX53" s="1" t="s">
        <v>300</v>
      </c>
      <c r="AZ53" s="2" t="s">
        <v>301</v>
      </c>
      <c r="BB53" s="1">
        <v>9</v>
      </c>
      <c r="BC53" s="1">
        <v>2018</v>
      </c>
    </row>
    <row r="54" spans="1:55" ht="15.75" customHeight="1" x14ac:dyDescent="0.15">
      <c r="G54" s="1" t="s">
        <v>302</v>
      </c>
      <c r="N54" s="1" t="str">
        <f ca="1">IFERROR(__xludf.DUMMYFUNCTION("CONCAT(LEFT(REGEXREPLACE(AX54, ""[^A-Za-z0-9]"", """"), 20), TEXT(ROW(AX54)-1, ""000""))"),"AllenNLPInterpretAFr053")</f>
        <v>AllenNLPInterpretAFr053</v>
      </c>
      <c r="W54" s="1" t="s">
        <v>57</v>
      </c>
      <c r="AF54" s="1" t="s">
        <v>303</v>
      </c>
      <c r="AL54" s="1" t="s">
        <v>304</v>
      </c>
      <c r="AX54" s="1" t="s">
        <v>305</v>
      </c>
      <c r="BC54" s="1">
        <v>2019</v>
      </c>
    </row>
    <row r="55" spans="1:55" ht="15.75" customHeight="1" x14ac:dyDescent="0.15">
      <c r="G55" s="1" t="s">
        <v>306</v>
      </c>
      <c r="N55" s="1" t="str">
        <f ca="1">IFERROR(__xludf.DUMMYFUNCTION("CONCAT(LEFT(REGEXREPLACE(AX55, ""[^A-Za-z0-9]"", """"), 20), TEXT(ROW(AX55)-1, ""000""))"),"AmericansUseAIinEver054")</f>
        <v>AmericansUseAIinEver054</v>
      </c>
      <c r="W55" s="1" t="s">
        <v>86</v>
      </c>
      <c r="AH55" s="1" t="s">
        <v>114</v>
      </c>
      <c r="AX55" s="1" t="s">
        <v>307</v>
      </c>
      <c r="AZ55" s="2" t="s">
        <v>308</v>
      </c>
    </row>
    <row r="56" spans="1:55" ht="15.75" customHeight="1" x14ac:dyDescent="0.15">
      <c r="G56" s="1" t="s">
        <v>309</v>
      </c>
      <c r="N56" s="1" t="str">
        <f ca="1">IFERROR(__xludf.DUMMYFUNCTION("CONCAT(LEFT(REGEXREPLACE(AX56, ""[^A-Za-z0-9]"", """"), 20), TEXT(ROW(AX56)-1, ""000""))"),"AnEfficientExplanati055")</f>
        <v>AnEfficientExplanati055</v>
      </c>
      <c r="W56" s="1" t="s">
        <v>57</v>
      </c>
      <c r="AF56" s="1" t="s">
        <v>310</v>
      </c>
      <c r="AL56" s="1" t="s">
        <v>311</v>
      </c>
      <c r="AM56" s="1" t="s">
        <v>312</v>
      </c>
      <c r="AP56" s="1" t="s">
        <v>313</v>
      </c>
      <c r="AX56" s="1" t="s">
        <v>314</v>
      </c>
      <c r="BB56" s="1">
        <v>11</v>
      </c>
      <c r="BC56" s="1">
        <v>2010</v>
      </c>
    </row>
    <row r="57" spans="1:55" ht="15.75" customHeight="1" x14ac:dyDescent="0.15">
      <c r="G57" s="1" t="s">
        <v>315</v>
      </c>
      <c r="N57" s="1" t="str">
        <f ca="1">IFERROR(__xludf.DUMMYFUNCTION("CONCAT(LEFT(REGEXREPLACE(AX57, ""[^A-Za-z0-9]"", """"), 20), TEXT(ROW(AX57)-1, ""000""))"),"AnEfficientPatternRe056")</f>
        <v>AnEfficientPatternRe056</v>
      </c>
      <c r="W57" s="1" t="s">
        <v>57</v>
      </c>
      <c r="AF57" s="1" t="s">
        <v>316</v>
      </c>
      <c r="AL57" s="1" t="s">
        <v>317</v>
      </c>
      <c r="AT57" s="1" t="s">
        <v>318</v>
      </c>
      <c r="AX57" s="1" t="s">
        <v>319</v>
      </c>
      <c r="BC57" s="1">
        <v>2016</v>
      </c>
    </row>
    <row r="58" spans="1:55" ht="15.75" customHeight="1" x14ac:dyDescent="0.15">
      <c r="G58" s="1" t="s">
        <v>320</v>
      </c>
      <c r="N58" s="1" t="str">
        <f ca="1">IFERROR(__xludf.DUMMYFUNCTION("CONCAT(LEFT(REGEXREPLACE(AX58, ""[^A-Za-z0-9]"", """"), 20), TEXT(ROW(AX58)-1, ""000""))"),"AnEmpiricalCompariso057")</f>
        <v>AnEmpiricalCompariso057</v>
      </c>
      <c r="W58" s="1" t="s">
        <v>57</v>
      </c>
      <c r="AF58" s="1" t="s">
        <v>321</v>
      </c>
      <c r="AM58" s="1">
        <v>1</v>
      </c>
      <c r="AP58" s="1" t="s">
        <v>322</v>
      </c>
      <c r="AT58" s="1" t="s">
        <v>171</v>
      </c>
      <c r="AX58" s="1" t="s">
        <v>323</v>
      </c>
      <c r="AZ58" s="2" t="s">
        <v>324</v>
      </c>
      <c r="BB58" s="1">
        <v>23</v>
      </c>
      <c r="BC58" s="1">
        <v>2021</v>
      </c>
    </row>
    <row r="59" spans="1:55" ht="15.75" customHeight="1" x14ac:dyDescent="0.15">
      <c r="G59" s="1" t="s">
        <v>325</v>
      </c>
      <c r="N59" s="1" t="str">
        <f ca="1">IFERROR(__xludf.DUMMYFUNCTION("CONCAT(LEFT(REGEXREPLACE(AX59, ""[^A-Za-z0-9]"", """"), 20), TEXT(ROW(AX59)-1, ""000""))"),"Anevaluationonlargel058")</f>
        <v>Anevaluationonlargel058</v>
      </c>
      <c r="T59" s="1" t="s">
        <v>326</v>
      </c>
      <c r="W59" s="1" t="s">
        <v>57</v>
      </c>
      <c r="AF59" s="1" t="s">
        <v>327</v>
      </c>
      <c r="AP59" s="1">
        <v>100024</v>
      </c>
      <c r="AX59" s="1" t="s">
        <v>328</v>
      </c>
      <c r="AZ59" s="2" t="s">
        <v>329</v>
      </c>
      <c r="BB59" s="1">
        <v>4</v>
      </c>
      <c r="BC59" s="1">
        <v>2023</v>
      </c>
    </row>
    <row r="60" spans="1:55" ht="15.75" customHeight="1" x14ac:dyDescent="0.15">
      <c r="G60" s="1" t="s">
        <v>330</v>
      </c>
      <c r="N60" s="1" t="str">
        <f ca="1">IFERROR(__xludf.DUMMYFUNCTION("CONCAT(LEFT(REGEXREPLACE(AX60, ""[^A-Za-z0-9]"", """"), 20), TEXT(ROW(AX60)-1, ""000""))"),"AnIntroductiontoArti059")</f>
        <v>AnIntroductiontoArti059</v>
      </c>
      <c r="W60" s="1" t="s">
        <v>57</v>
      </c>
      <c r="AF60" s="1" t="s">
        <v>331</v>
      </c>
      <c r="AL60" s="1" t="s">
        <v>332</v>
      </c>
      <c r="AM60" s="1">
        <v>2</v>
      </c>
      <c r="AP60" s="1" t="s">
        <v>333</v>
      </c>
      <c r="AX60" s="1" t="s">
        <v>334</v>
      </c>
      <c r="BB60" s="1">
        <v>73</v>
      </c>
      <c r="BC60" s="1">
        <v>2019</v>
      </c>
    </row>
    <row r="61" spans="1:55" ht="15.75" customHeight="1" x14ac:dyDescent="0.15">
      <c r="G61" s="1" t="s">
        <v>335</v>
      </c>
      <c r="N61" s="1" t="str">
        <f ca="1">IFERROR(__xludf.DUMMYFUNCTION("CONCAT(LEFT(REGEXREPLACE(AX61, ""[^A-Za-z0-9]"", """"), 20), TEXT(ROW(AX61)-1, ""000""))"),"AnIntroductiontoMach060")</f>
        <v>AnIntroductiontoMach060</v>
      </c>
      <c r="W61" s="1" t="s">
        <v>86</v>
      </c>
      <c r="AL61" s="1" t="s">
        <v>336</v>
      </c>
      <c r="AT61" s="1" t="s">
        <v>337</v>
      </c>
      <c r="AX61" s="1" t="s">
        <v>338</v>
      </c>
      <c r="BC61" s="1">
        <v>2019</v>
      </c>
    </row>
    <row r="62" spans="1:55" ht="15.75" customHeight="1" x14ac:dyDescent="0.15">
      <c r="G62" s="1" t="s">
        <v>339</v>
      </c>
      <c r="N62" s="1" t="str">
        <f ca="1">IFERROR(__xludf.DUMMYFUNCTION("CONCAT(LEFT(REGEXREPLACE(AX62, ""[^A-Za-z0-9]"", """"), 20), TEXT(ROW(AX62)-1, ""000""))"),"AnOverviewofMachineL061")</f>
        <v>AnOverviewofMachineL061</v>
      </c>
      <c r="W62" s="1" t="s">
        <v>57</v>
      </c>
      <c r="AF62" s="1" t="s">
        <v>316</v>
      </c>
      <c r="AL62" s="1" t="s">
        <v>340</v>
      </c>
      <c r="AT62" s="1" t="s">
        <v>318</v>
      </c>
      <c r="AX62" s="1" t="s">
        <v>341</v>
      </c>
      <c r="BC62" s="1">
        <v>2014</v>
      </c>
    </row>
    <row r="63" spans="1:55" ht="15.75" customHeight="1" x14ac:dyDescent="0.15">
      <c r="G63" s="1" t="s">
        <v>342</v>
      </c>
      <c r="N63" s="1" t="str">
        <f ca="1">IFERROR(__xludf.DUMMYFUNCTION("CONCAT(LEFT(REGEXREPLACE(AX63, ""[^A-Za-z0-9]"", """"), 20), TEXT(ROW(AX63)-1, ""000""))"),"AnalysisofRegression062")</f>
        <v>AnalysisofRegression062</v>
      </c>
      <c r="W63" s="1" t="s">
        <v>57</v>
      </c>
      <c r="AF63" s="1" t="s">
        <v>343</v>
      </c>
      <c r="AM63" s="1">
        <v>4</v>
      </c>
      <c r="AP63" s="1" t="s">
        <v>344</v>
      </c>
      <c r="AT63" s="1" t="s">
        <v>345</v>
      </c>
      <c r="AX63" s="1" t="s">
        <v>346</v>
      </c>
      <c r="AZ63" t="s">
        <v>2747</v>
      </c>
      <c r="BB63" s="1">
        <v>17</v>
      </c>
      <c r="BC63" s="1">
        <v>2001</v>
      </c>
    </row>
    <row r="64" spans="1:55" ht="15.75" customHeight="1" x14ac:dyDescent="0.15">
      <c r="A64" s="1" t="s">
        <v>347</v>
      </c>
      <c r="G64" s="1" t="s">
        <v>348</v>
      </c>
      <c r="N64" s="1" t="str">
        <f ca="1">IFERROR(__xludf.DUMMYFUNCTION("CONCAT(LEFT(REGEXREPLACE(AX64, ""[^A-Za-z0-9]"", """"), 20), TEXT(ROW(AX64)-1, ""000""))"),"Analyticalresultsfor063")</f>
        <v>Analyticalresultsfor063</v>
      </c>
      <c r="T64" s="1" t="s">
        <v>349</v>
      </c>
      <c r="W64" s="1" t="s">
        <v>86</v>
      </c>
      <c r="Y64" s="1" t="s">
        <v>350</v>
      </c>
      <c r="AG64" s="1" t="s">
        <v>351</v>
      </c>
      <c r="AK64" s="1" t="s">
        <v>129</v>
      </c>
      <c r="AL64" s="1" t="s">
        <v>352</v>
      </c>
      <c r="AT64" s="1" t="s">
        <v>91</v>
      </c>
      <c r="AX64" s="1" t="s">
        <v>353</v>
      </c>
      <c r="AZ64" s="2" t="s">
        <v>354</v>
      </c>
      <c r="BA64" s="3">
        <v>45793</v>
      </c>
      <c r="BC64" s="1">
        <v>2024</v>
      </c>
    </row>
    <row r="65" spans="1:55" ht="15.75" customHeight="1" x14ac:dyDescent="0.15">
      <c r="G65" s="1" t="s">
        <v>355</v>
      </c>
      <c r="N65" s="1" t="str">
        <f ca="1">IFERROR(__xludf.DUMMYFUNCTION("CONCAT(LEFT(REGEXREPLACE(AX65, ""[^A-Za-z0-9]"", """"), 20), TEXT(ROW(AX65)-1, ""000""))"),"Analyzingdigitaldisc064")</f>
        <v>Analyzingdigitaldisc064</v>
      </c>
      <c r="W65" s="1" t="s">
        <v>69</v>
      </c>
      <c r="AT65" s="1" t="s">
        <v>193</v>
      </c>
      <c r="AX65" s="1" t="s">
        <v>356</v>
      </c>
      <c r="AZ65" t="s">
        <v>2748</v>
      </c>
      <c r="BC65" s="1">
        <v>2018</v>
      </c>
    </row>
    <row r="66" spans="1:55" ht="15.75" customHeight="1" x14ac:dyDescent="0.15">
      <c r="G66" s="1" t="s">
        <v>357</v>
      </c>
      <c r="M66" s="1" t="s">
        <v>358</v>
      </c>
      <c r="N66" s="1" t="str">
        <f ca="1">IFERROR(__xludf.DUMMYFUNCTION("CONCAT(LEFT(REGEXREPLACE(AX66, ""[^A-Za-z0-9]"", """"), 20), TEXT(ROW(AX66)-1, ""000""))"),"AnchorsHighPrecision065")</f>
        <v>AnchorsHighPrecision065</v>
      </c>
      <c r="W66" s="1" t="s">
        <v>64</v>
      </c>
      <c r="AL66" s="1" t="s">
        <v>359</v>
      </c>
      <c r="AX66" s="1" t="s">
        <v>360</v>
      </c>
      <c r="BC66" s="1">
        <v>2018</v>
      </c>
    </row>
    <row r="67" spans="1:55" ht="15.75" customHeight="1" x14ac:dyDescent="0.15">
      <c r="G67" s="1" t="s">
        <v>361</v>
      </c>
      <c r="N67" s="1" t="str">
        <f ca="1">IFERROR(__xludf.DUMMYFUNCTION("CONCAT(LEFT(REGEXREPLACE(AX67, ""[^A-Za-z0-9]"", """"), 20), TEXT(ROW(AX67)-1, ""000""))"),"Answeringthecallfora066")</f>
        <v>Answeringthecallfora066</v>
      </c>
      <c r="W67" s="1" t="s">
        <v>57</v>
      </c>
      <c r="AF67" s="1" t="s">
        <v>362</v>
      </c>
      <c r="AM67" s="1">
        <v>1</v>
      </c>
      <c r="AP67" s="1" t="s">
        <v>363</v>
      </c>
      <c r="AT67" s="1" t="s">
        <v>146</v>
      </c>
      <c r="AX67" s="1" t="s">
        <v>364</v>
      </c>
      <c r="AZ67" s="2" t="s">
        <v>365</v>
      </c>
      <c r="BB67" s="1">
        <v>1</v>
      </c>
      <c r="BC67" s="1">
        <v>2007</v>
      </c>
    </row>
    <row r="68" spans="1:55" ht="15.75" customHeight="1" x14ac:dyDescent="0.15">
      <c r="G68" s="1" t="s">
        <v>366</v>
      </c>
      <c r="N68" s="1" t="str">
        <f ca="1">IFERROR(__xludf.DUMMYFUNCTION("CONCAT(LEFT(REGEXREPLACE(AX68, ""[^A-Za-z0-9]"", """"), 20), TEXT(ROW(AX68)-1, ""000""))"),"AnthropicResponsible067")</f>
        <v>AnthropicResponsible067</v>
      </c>
      <c r="W68" s="1" t="s">
        <v>57</v>
      </c>
      <c r="AF68" s="1" t="s">
        <v>367</v>
      </c>
      <c r="AM68" s="1">
        <v>1</v>
      </c>
      <c r="AX68" s="1" t="s">
        <v>368</v>
      </c>
      <c r="AZ68" t="s">
        <v>2696</v>
      </c>
      <c r="BB68" s="1">
        <v>2</v>
      </c>
      <c r="BC68" s="1">
        <v>2025</v>
      </c>
    </row>
    <row r="69" spans="1:55" ht="15.75" customHeight="1" x14ac:dyDescent="0.15">
      <c r="G69" s="1" t="s">
        <v>369</v>
      </c>
      <c r="N69" s="1" t="str">
        <f ca="1">IFERROR(__xludf.DUMMYFUNCTION("CONCAT(LEFT(REGEXREPLACE(AX69, ""[^A-Za-z0-9]"", """"), 20), TEXT(ROW(AX69)-1, ""000""))"),"AreEmilyandGregmoree068")</f>
        <v>AreEmilyandGregmoree068</v>
      </c>
      <c r="W69" s="1" t="s">
        <v>57</v>
      </c>
      <c r="AF69" s="1" t="s">
        <v>370</v>
      </c>
      <c r="AM69" s="1">
        <v>4</v>
      </c>
      <c r="AP69" s="1" t="s">
        <v>371</v>
      </c>
      <c r="AX69" s="1" t="s">
        <v>372</v>
      </c>
      <c r="AZ69" s="2" t="s">
        <v>373</v>
      </c>
      <c r="BB69" s="1">
        <v>94</v>
      </c>
      <c r="BC69" s="1">
        <v>2004</v>
      </c>
    </row>
    <row r="70" spans="1:55" ht="15.75" customHeight="1" x14ac:dyDescent="0.15">
      <c r="E70" s="1" t="s">
        <v>91</v>
      </c>
      <c r="G70" s="1" t="s">
        <v>374</v>
      </c>
      <c r="N70" s="1" t="str">
        <f ca="1">IFERROR(__xludf.DUMMYFUNCTION("CONCAT(LEFT(REGEXREPLACE(AX70, ""[^A-Za-z0-9]"", """"), 20), TEXT(ROW(AX70)-1, ""000""))"),"AreLanguageModelsWor069")</f>
        <v>AreLanguageModelsWor069</v>
      </c>
      <c r="W70" s="1" t="s">
        <v>86</v>
      </c>
      <c r="X70" s="1">
        <v>2301.0708500000001</v>
      </c>
      <c r="AS70" s="2" t="s">
        <v>375</v>
      </c>
      <c r="AX70" s="1" t="s">
        <v>376</v>
      </c>
      <c r="AZ70" s="2" t="s">
        <v>377</v>
      </c>
      <c r="BC70" s="1">
        <v>2023</v>
      </c>
    </row>
    <row r="71" spans="1:55" ht="15.75" customHeight="1" x14ac:dyDescent="0.15">
      <c r="G71" s="1" t="s">
        <v>378</v>
      </c>
      <c r="M71" s="1" t="s">
        <v>257</v>
      </c>
      <c r="N71" s="1" t="str">
        <f ca="1">IFERROR(__xludf.DUMMYFUNCTION("CONCAT(LEFT(REGEXREPLACE(AX71, ""[^A-Za-z0-9]"", """"), 20), TEXT(ROW(AX71)-1, ""000""))"),"AreWeLearningYetAMet070")</f>
        <v>AreWeLearningYetAMet070</v>
      </c>
      <c r="V71" s="1" t="s">
        <v>258</v>
      </c>
      <c r="W71" s="1" t="s">
        <v>64</v>
      </c>
      <c r="AX71" s="1" t="s">
        <v>379</v>
      </c>
      <c r="AZ71" s="2" t="s">
        <v>380</v>
      </c>
      <c r="BB71" s="1">
        <v>1</v>
      </c>
      <c r="BC71" s="1">
        <v>2021</v>
      </c>
    </row>
    <row r="72" spans="1:55" ht="15.75" customHeight="1" x14ac:dyDescent="0.15">
      <c r="G72" s="1" t="s">
        <v>381</v>
      </c>
      <c r="N72" s="1" t="str">
        <f ca="1">IFERROR(__xludf.DUMMYFUNCTION("CONCAT(LEFT(REGEXREPLACE(AX72, ""[^A-Za-z0-9]"", """"), 20), TEXT(ROW(AX72)-1, ""000""))"),"ArtificialHallucinat071")</f>
        <v>ArtificialHallucinat071</v>
      </c>
      <c r="W72" s="1" t="s">
        <v>57</v>
      </c>
      <c r="AF72" s="1" t="s">
        <v>382</v>
      </c>
      <c r="AM72" s="1">
        <v>2</v>
      </c>
      <c r="AT72" s="1" t="s">
        <v>382</v>
      </c>
      <c r="AX72" s="1" t="s">
        <v>383</v>
      </c>
      <c r="AZ72" s="2" t="s">
        <v>384</v>
      </c>
      <c r="BB72" s="1">
        <v>15</v>
      </c>
      <c r="BC72" s="1">
        <v>2023</v>
      </c>
    </row>
    <row r="73" spans="1:55" ht="15.75" customHeight="1" x14ac:dyDescent="0.15">
      <c r="G73" s="1" t="s">
        <v>385</v>
      </c>
      <c r="N73" s="1" t="str">
        <f ca="1">IFERROR(__xludf.DUMMYFUNCTION("CONCAT(LEFT(REGEXREPLACE(AX73, ""[^A-Za-z0-9]"", """"), 20), TEXT(ROW(AX73)-1, ""000""))"),"ArtificialIntelligen072")</f>
        <v>ArtificialIntelligen072</v>
      </c>
      <c r="W73" s="1" t="s">
        <v>69</v>
      </c>
      <c r="AL73" s="1" t="s">
        <v>386</v>
      </c>
      <c r="AT73" s="1" t="s">
        <v>387</v>
      </c>
      <c r="AX73" s="1" t="s">
        <v>388</v>
      </c>
      <c r="BC73" s="1">
        <v>2010</v>
      </c>
    </row>
    <row r="74" spans="1:55" ht="15.75" customHeight="1" x14ac:dyDescent="0.15">
      <c r="G74" s="1" t="s">
        <v>389</v>
      </c>
      <c r="N74" s="1" t="str">
        <f ca="1">IFERROR(__xludf.DUMMYFUNCTION("CONCAT(LEFT(REGEXREPLACE(AX74, ""[^A-Za-z0-9]"", """"), 20), TEXT(ROW(AX74)-1, ""000""))"),"ArtificialIntelligen073")</f>
        <v>ArtificialIntelligen073</v>
      </c>
      <c r="W74" s="1" t="s">
        <v>86</v>
      </c>
      <c r="AA74" s="1" t="s">
        <v>390</v>
      </c>
      <c r="AX74" s="1" t="s">
        <v>391</v>
      </c>
      <c r="AZ74" s="2" t="s">
        <v>392</v>
      </c>
      <c r="BC74" s="1">
        <v>2024</v>
      </c>
    </row>
    <row r="75" spans="1:55" ht="15.75" customHeight="1" x14ac:dyDescent="0.15">
      <c r="A75" s="1" t="s">
        <v>393</v>
      </c>
      <c r="G75" s="1" t="s">
        <v>394</v>
      </c>
      <c r="N75" s="1" t="str">
        <f ca="1">IFERROR(__xludf.DUMMYFUNCTION("CONCAT(LEFT(REGEXREPLACE(AX75, ""[^A-Za-z0-9]"", """"), 20), TEXT(ROW(AX75)-1, ""000""))"),"Artificialintelligen074")</f>
        <v>Artificialintelligen074</v>
      </c>
      <c r="Q75" s="1" t="s">
        <v>395</v>
      </c>
      <c r="T75" s="1" t="s">
        <v>396</v>
      </c>
      <c r="W75" s="1" t="s">
        <v>57</v>
      </c>
      <c r="AC75" s="1" t="s">
        <v>397</v>
      </c>
      <c r="AF75" s="1" t="s">
        <v>398</v>
      </c>
      <c r="AG75" s="1" t="s">
        <v>399</v>
      </c>
      <c r="AH75" s="1" t="s">
        <v>114</v>
      </c>
      <c r="AK75" s="1" t="s">
        <v>129</v>
      </c>
      <c r="AL75" s="1" t="s">
        <v>400</v>
      </c>
      <c r="AM75" s="1">
        <v>1</v>
      </c>
      <c r="AP75" s="1" t="s">
        <v>401</v>
      </c>
      <c r="AW75" s="1" t="s">
        <v>402</v>
      </c>
      <c r="AX75" s="1" t="s">
        <v>403</v>
      </c>
      <c r="AZ75" s="2" t="s">
        <v>404</v>
      </c>
      <c r="BA75" s="3">
        <v>45796</v>
      </c>
      <c r="BB75" s="1">
        <v>7</v>
      </c>
      <c r="BC75" s="1">
        <v>2024</v>
      </c>
    </row>
    <row r="76" spans="1:55" ht="15.75" customHeight="1" x14ac:dyDescent="0.15">
      <c r="G76" s="1" t="s">
        <v>405</v>
      </c>
      <c r="N76" s="1" t="str">
        <f ca="1">IFERROR(__xludf.DUMMYFUNCTION("CONCAT(LEFT(REGEXREPLACE(AX76, ""[^A-Za-z0-9]"", """"), 20), TEXT(ROW(AX76)-1, ""000""))"),"ArtificialIntelligen075")</f>
        <v>ArtificialIntelligen075</v>
      </c>
      <c r="W76" s="1" t="s">
        <v>86</v>
      </c>
      <c r="AA76" s="1" t="s">
        <v>406</v>
      </c>
      <c r="AK76" s="1" t="s">
        <v>407</v>
      </c>
      <c r="AX76" s="1" t="s">
        <v>408</v>
      </c>
      <c r="AZ76" s="2" t="s">
        <v>409</v>
      </c>
      <c r="BC76" s="1">
        <v>2020</v>
      </c>
    </row>
    <row r="77" spans="1:55" ht="15.75" customHeight="1" x14ac:dyDescent="0.15">
      <c r="G77" s="1" t="s">
        <v>410</v>
      </c>
      <c r="N77" s="1" t="str">
        <f ca="1">IFERROR(__xludf.DUMMYFUNCTION("CONCAT(LEFT(REGEXREPLACE(AX77, ""[^A-Za-z0-9]"", """"), 20), TEXT(ROW(AX77)-1, ""000""))"),"ArtificialIntelligen076")</f>
        <v>ArtificialIntelligen076</v>
      </c>
      <c r="W77" s="1" t="s">
        <v>86</v>
      </c>
      <c r="AL77" s="1" t="s">
        <v>411</v>
      </c>
      <c r="AT77" s="1" t="s">
        <v>412</v>
      </c>
      <c r="AX77" s="1" t="s">
        <v>413</v>
      </c>
      <c r="BC77" s="1">
        <v>2020</v>
      </c>
    </row>
    <row r="78" spans="1:55" ht="15.75" customHeight="1" x14ac:dyDescent="0.15">
      <c r="G78" s="1" t="s">
        <v>414</v>
      </c>
      <c r="N78" s="1" t="str">
        <f ca="1">IFERROR(__xludf.DUMMYFUNCTION("CONCAT(LEFT(REGEXREPLACE(AX78, ""[^A-Za-z0-9]"", """"), 20), TEXT(ROW(AX78)-1, ""000""))"),"ArtificialIntelligen077")</f>
        <v>ArtificialIntelligen077</v>
      </c>
      <c r="W78" s="1" t="s">
        <v>86</v>
      </c>
      <c r="AA78" s="1" t="s">
        <v>415</v>
      </c>
      <c r="AM78" s="1" t="s">
        <v>416</v>
      </c>
      <c r="AX78" s="1" t="s">
        <v>417</v>
      </c>
      <c r="AZ78" s="2" t="s">
        <v>418</v>
      </c>
      <c r="BC78" s="1">
        <v>2023</v>
      </c>
    </row>
    <row r="79" spans="1:55" ht="15.75" customHeight="1" x14ac:dyDescent="0.15">
      <c r="G79" s="1" t="s">
        <v>419</v>
      </c>
      <c r="N79" s="1" t="str">
        <f ca="1">IFERROR(__xludf.DUMMYFUNCTION("CONCAT(LEFT(REGEXREPLACE(AX79, ""[^A-Za-z0-9]"", """"), 20), TEXT(ROW(AX79)-1, ""000""))"),"ArtificialIntelligen078")</f>
        <v>ArtificialIntelligen078</v>
      </c>
      <c r="T79" s="2" t="s">
        <v>420</v>
      </c>
      <c r="W79" s="1" t="s">
        <v>86</v>
      </c>
      <c r="AH79" s="1" t="s">
        <v>114</v>
      </c>
      <c r="AK79" s="4">
        <v>45499.171527777777</v>
      </c>
      <c r="AT79" s="1" t="s">
        <v>421</v>
      </c>
      <c r="AX79" s="1" t="s">
        <v>422</v>
      </c>
      <c r="AZ79" s="2" t="s">
        <v>423</v>
      </c>
      <c r="BC79" s="1">
        <v>2024</v>
      </c>
    </row>
    <row r="80" spans="1:55" ht="15.75" customHeight="1" x14ac:dyDescent="0.15">
      <c r="G80" s="1" t="s">
        <v>424</v>
      </c>
      <c r="N80" s="1" t="str">
        <f ca="1">IFERROR(__xludf.DUMMYFUNCTION("CONCAT(LEFT(REGEXREPLACE(AX80, ""[^A-Za-z0-9]"", """"), 20), TEXT(ROW(AX80)-1, ""000""))"),"ArtificialIntelligen079")</f>
        <v>ArtificialIntelligen079</v>
      </c>
      <c r="W80" s="1" t="s">
        <v>57</v>
      </c>
      <c r="AB80" s="1" t="s">
        <v>425</v>
      </c>
      <c r="AT80" s="1" t="s">
        <v>426</v>
      </c>
      <c r="AX80" s="1" t="s">
        <v>427</v>
      </c>
      <c r="AZ80" s="2" t="s">
        <v>428</v>
      </c>
      <c r="BC80" s="1">
        <v>2020</v>
      </c>
    </row>
    <row r="81" spans="3:55" ht="15.75" customHeight="1" x14ac:dyDescent="0.15">
      <c r="G81" s="1" t="s">
        <v>429</v>
      </c>
      <c r="M81" s="1" t="s">
        <v>430</v>
      </c>
      <c r="N81" s="1" t="str">
        <f ca="1">IFERROR(__xludf.DUMMYFUNCTION("CONCAT(LEFT(REGEXREPLACE(AX81, ""[^A-Za-z0-9]"", """"), 20), TEXT(ROW(AX81)-1, ""000""))"),"AssessingImageQualit080")</f>
        <v>AssessingImageQualit080</v>
      </c>
      <c r="W81" s="1" t="s">
        <v>64</v>
      </c>
      <c r="AP81" s="1" t="s">
        <v>431</v>
      </c>
      <c r="AX81" s="1" t="s">
        <v>432</v>
      </c>
      <c r="AZ81" s="2" t="s">
        <v>433</v>
      </c>
      <c r="BC81" s="1">
        <v>2020</v>
      </c>
    </row>
    <row r="82" spans="3:55" ht="15.75" customHeight="1" x14ac:dyDescent="0.15">
      <c r="G82" s="1" t="s">
        <v>434</v>
      </c>
      <c r="N82" s="1" t="str">
        <f ca="1">IFERROR(__xludf.DUMMYFUNCTION("CONCAT(LEFT(REGEXREPLACE(AX82, ""[^A-Za-z0-9]"", """"), 20), TEXT(ROW(AX82)-1, ""000""))"),"AssessingRisksandImp081")</f>
        <v>AssessingRisksandImp081</v>
      </c>
      <c r="W82" s="1" t="s">
        <v>95</v>
      </c>
      <c r="AA82" s="1" t="s">
        <v>248</v>
      </c>
      <c r="AM82" s="1" t="s">
        <v>435</v>
      </c>
      <c r="AX82" s="1" t="s">
        <v>436</v>
      </c>
      <c r="AZ82" s="2" t="s">
        <v>437</v>
      </c>
      <c r="BC82" s="1">
        <v>2025</v>
      </c>
    </row>
    <row r="83" spans="3:55" ht="15.75" customHeight="1" x14ac:dyDescent="0.15">
      <c r="G83" s="1" t="s">
        <v>438</v>
      </c>
      <c r="N83" s="1" t="str">
        <f ca="1">IFERROR(__xludf.DUMMYFUNCTION("CONCAT(LEFT(REGEXREPLACE(AX83, ""[^A-Za-z0-9]"", """"), 20), TEXT(ROW(AX83)-1, ""000""))"),"AssessingtheLocalInt082")</f>
        <v>AssessingtheLocalInt082</v>
      </c>
      <c r="W83" s="1" t="s">
        <v>57</v>
      </c>
      <c r="AF83" s="1" t="s">
        <v>439</v>
      </c>
      <c r="AL83" s="1" t="s">
        <v>440</v>
      </c>
      <c r="AX83" s="1" t="s">
        <v>441</v>
      </c>
      <c r="BC83" s="1">
        <v>2019</v>
      </c>
    </row>
    <row r="84" spans="3:55" ht="15.75" customHeight="1" x14ac:dyDescent="0.15">
      <c r="C84" s="1" t="s">
        <v>442</v>
      </c>
      <c r="G84" s="1" t="s">
        <v>443</v>
      </c>
      <c r="N84" s="1" t="str">
        <f ca="1">IFERROR(__xludf.DUMMYFUNCTION("CONCAT(LEFT(REGEXREPLACE(AX84, ""[^A-Za-z0-9]"", """"), 20), TEXT(ROW(AX84)-1, ""000""))"),"ASTME301216StandardG083")</f>
        <v>ASTME301216StandardG083</v>
      </c>
      <c r="T84" s="1" t="s">
        <v>444</v>
      </c>
      <c r="W84" s="1" t="s">
        <v>69</v>
      </c>
      <c r="AT84" s="1" t="s">
        <v>443</v>
      </c>
      <c r="AX84" s="1" t="s">
        <v>445</v>
      </c>
      <c r="BC84" s="1">
        <v>2016</v>
      </c>
    </row>
    <row r="85" spans="3:55" ht="15.75" customHeight="1" x14ac:dyDescent="0.15">
      <c r="G85" s="1" t="s">
        <v>446</v>
      </c>
      <c r="N85" s="1" t="str">
        <f ca="1">IFERROR(__xludf.DUMMYFUNCTION("CONCAT(LEFT(REGEXREPLACE(AX85, ""[^A-Za-z0-9]"", """"), 20), TEXT(ROW(AX85)-1, ""000""))"),"AsymmetricShapleyVal084")</f>
        <v>AsymmetricShapleyVal084</v>
      </c>
      <c r="W85" s="1" t="s">
        <v>57</v>
      </c>
      <c r="AF85" s="1" t="s">
        <v>447</v>
      </c>
      <c r="AL85" s="1" t="s">
        <v>448</v>
      </c>
      <c r="AX85" s="1" t="s">
        <v>449</v>
      </c>
      <c r="BB85" s="1">
        <v>33</v>
      </c>
      <c r="BC85" s="1">
        <v>2020</v>
      </c>
    </row>
    <row r="86" spans="3:55" ht="15.75" customHeight="1" x14ac:dyDescent="0.15">
      <c r="G86" s="1" t="s">
        <v>450</v>
      </c>
      <c r="M86" s="1" t="s">
        <v>451</v>
      </c>
      <c r="N86" s="1" t="str">
        <f ca="1">IFERROR(__xludf.DUMMYFUNCTION("CONCAT(LEFT(REGEXREPLACE(AX86, ""[^A-Za-z0-9]"", """"), 20), TEXT(ROW(AX86)-1, ""000""))"),"AtlasofAIRisksEnhanc085")</f>
        <v>AtlasofAIRisksEnhanc085</v>
      </c>
      <c r="W86" s="1" t="s">
        <v>64</v>
      </c>
      <c r="AP86" s="1" t="s">
        <v>452</v>
      </c>
      <c r="AX86" s="1" t="s">
        <v>453</v>
      </c>
      <c r="AZ86" t="s">
        <v>2749</v>
      </c>
      <c r="BB86" s="1">
        <v>12</v>
      </c>
      <c r="BC86" s="1">
        <v>2024</v>
      </c>
    </row>
    <row r="87" spans="3:55" ht="15.75" customHeight="1" x14ac:dyDescent="0.15">
      <c r="G87" s="1" t="s">
        <v>454</v>
      </c>
      <c r="M87" s="1" t="s">
        <v>447</v>
      </c>
      <c r="N87" s="1" t="str">
        <f ca="1">IFERROR(__xludf.DUMMYFUNCTION("CONCAT(LEFT(REGEXREPLACE(AX87, ""[^A-Za-z0-9]"", """"), 20), TEXT(ROW(AX87)-1, ""000""))"),"AttentionisAllyouNee086")</f>
        <v>AttentionisAllyouNee086</v>
      </c>
      <c r="V87" s="1" t="s">
        <v>455</v>
      </c>
      <c r="W87" s="1" t="s">
        <v>64</v>
      </c>
      <c r="AL87" s="1" t="s">
        <v>456</v>
      </c>
      <c r="AT87" s="1" t="s">
        <v>199</v>
      </c>
      <c r="AX87" s="1" t="s">
        <v>457</v>
      </c>
      <c r="BB87" s="1">
        <v>30</v>
      </c>
      <c r="BC87" s="1">
        <v>2017</v>
      </c>
    </row>
    <row r="88" spans="3:55" ht="15.75" customHeight="1" x14ac:dyDescent="0.15">
      <c r="G88" s="1" t="s">
        <v>458</v>
      </c>
      <c r="M88" s="1" t="s">
        <v>459</v>
      </c>
      <c r="N88" s="1" t="str">
        <f ca="1">IFERROR(__xludf.DUMMYFUNCTION("CONCAT(LEFT(REGEXREPLACE(AX88, ""[^A-Za-z0-9]"", """"), 20), TEXT(ROW(AX88)-1, ""000""))"),"AudioCapsGeneratingC087")</f>
        <v>AudioCapsGeneratingC087</v>
      </c>
      <c r="W88" s="1" t="s">
        <v>64</v>
      </c>
      <c r="AX88" s="1" t="s">
        <v>460</v>
      </c>
      <c r="AZ88" t="s">
        <v>2750</v>
      </c>
      <c r="BC88" s="1">
        <v>2019</v>
      </c>
    </row>
    <row r="89" spans="3:55" ht="15.75" customHeight="1" x14ac:dyDescent="0.15">
      <c r="G89" s="1" t="s">
        <v>461</v>
      </c>
      <c r="N89" s="1" t="str">
        <f ca="1">IFERROR(__xludf.DUMMYFUNCTION("CONCAT(LEFT(REGEXREPLACE(AX89, ""[^A-Za-z0-9]"", """"), 20), TEXT(ROW(AX89)-1, ""000""))"),"AwesomeMachineLearni088")</f>
        <v>AwesomeMachineLearni088</v>
      </c>
      <c r="W89" s="1" t="s">
        <v>86</v>
      </c>
      <c r="Z89" s="1" t="s">
        <v>462</v>
      </c>
      <c r="AX89" s="1" t="s">
        <v>463</v>
      </c>
      <c r="BC89" s="1">
        <v>2024</v>
      </c>
    </row>
    <row r="90" spans="3:55" ht="15.75" customHeight="1" x14ac:dyDescent="0.15">
      <c r="G90" s="1" t="s">
        <v>464</v>
      </c>
      <c r="L90" s="2" t="s">
        <v>465</v>
      </c>
      <c r="N90" s="1" t="str">
        <f ca="1">IFERROR(__xludf.DUMMYFUNCTION("CONCAT(LEFT(REGEXREPLACE(AX90, ""[^A-Za-z0-9]"", """"), 20), TEXT(ROW(AX90)-1, ""000""))"),"BatchNormalizationAc089")</f>
        <v>BatchNormalizationAc089</v>
      </c>
      <c r="W90" s="1" t="s">
        <v>57</v>
      </c>
      <c r="AX90" s="1" t="s">
        <v>466</v>
      </c>
      <c r="AZ90" s="2" t="s">
        <v>465</v>
      </c>
      <c r="BC90" s="1">
        <v>2015</v>
      </c>
    </row>
    <row r="91" spans="3:55" ht="15.75" customHeight="1" x14ac:dyDescent="0.15">
      <c r="G91" s="1" t="s">
        <v>467</v>
      </c>
      <c r="N91" s="1" t="str">
        <f ca="1">IFERROR(__xludf.DUMMYFUNCTION("CONCAT(LEFT(REGEXREPLACE(AX91, ""[^A-Za-z0-9]"", """"), 20), TEXT(ROW(AX91)-1, ""000""))"),"BayesianNetworks090")</f>
        <v>BayesianNetworks090</v>
      </c>
      <c r="W91" s="1" t="s">
        <v>57</v>
      </c>
      <c r="AL91" s="1" t="s">
        <v>468</v>
      </c>
      <c r="AX91" s="1" t="s">
        <v>469</v>
      </c>
      <c r="BC91" s="1">
        <v>2011</v>
      </c>
    </row>
    <row r="92" spans="3:55" ht="15.75" customHeight="1" x14ac:dyDescent="0.15">
      <c r="G92" s="1" t="s">
        <v>470</v>
      </c>
      <c r="N92" s="1" t="str">
        <f ca="1">IFERROR(__xludf.DUMMYFUNCTION("CONCAT(LEFT(REGEXREPLACE(AX92, ""[^A-Za-z0-9]"", """"), 20), TEXT(ROW(AX92)-1, ""000""))"),"BBQAHandBuiltBiasBen091")</f>
        <v>BBQAHandBuiltBiasBen091</v>
      </c>
      <c r="W92" s="1" t="s">
        <v>57</v>
      </c>
      <c r="AF92" s="1" t="s">
        <v>471</v>
      </c>
      <c r="AX92" s="1" t="s">
        <v>472</v>
      </c>
      <c r="AZ92" s="2" t="s">
        <v>473</v>
      </c>
      <c r="BC92" s="1">
        <v>2021</v>
      </c>
    </row>
    <row r="93" spans="3:55" ht="15.75" customHeight="1" x14ac:dyDescent="0.15">
      <c r="G93" s="1" t="s">
        <v>474</v>
      </c>
      <c r="N93" s="1" t="str">
        <f ca="1">IFERROR(__xludf.DUMMYFUNCTION("CONCAT(LEFT(REGEXREPLACE(AX93, ""[^A-Za-z0-9]"", """"), 20), TEXT(ROW(AX93)-1, ""000""))"),"BeliefintheLawofSmal092")</f>
        <v>BeliefintheLawofSmal092</v>
      </c>
      <c r="W93" s="1" t="s">
        <v>57</v>
      </c>
      <c r="AF93" s="1" t="s">
        <v>475</v>
      </c>
      <c r="AM93" s="1">
        <v>2</v>
      </c>
      <c r="AP93" s="1">
        <v>105</v>
      </c>
      <c r="AT93" s="1" t="s">
        <v>136</v>
      </c>
      <c r="AX93" s="1" t="s">
        <v>476</v>
      </c>
      <c r="AZ93" t="s">
        <v>2697</v>
      </c>
      <c r="BB93" s="1">
        <v>76</v>
      </c>
      <c r="BC93" s="1">
        <v>1971</v>
      </c>
    </row>
    <row r="94" spans="3:55" ht="15.75" customHeight="1" x14ac:dyDescent="0.15">
      <c r="G94" s="1" t="s">
        <v>477</v>
      </c>
      <c r="M94" s="1" t="s">
        <v>478</v>
      </c>
      <c r="N94" s="1" t="str">
        <f ca="1">IFERROR(__xludf.DUMMYFUNCTION("CONCAT(LEFT(REGEXREPLACE(AX94, ""[^A-Za-z0-9]"", """"), 20), TEXT(ROW(AX94)-1, ""000""))"),"BERTPreTrainingofDee093")</f>
        <v>BERTPreTrainingofDee093</v>
      </c>
      <c r="W94" s="1" t="s">
        <v>64</v>
      </c>
      <c r="AP94" s="1" t="s">
        <v>479</v>
      </c>
      <c r="AX94" s="1" t="s">
        <v>480</v>
      </c>
      <c r="AZ94" s="2" t="s">
        <v>481</v>
      </c>
      <c r="BC94" s="1">
        <v>2019</v>
      </c>
    </row>
    <row r="95" spans="3:55" ht="15.75" customHeight="1" x14ac:dyDescent="0.15">
      <c r="G95" s="1" t="s">
        <v>482</v>
      </c>
      <c r="N95" s="1" t="str">
        <f ca="1">IFERROR(__xludf.DUMMYFUNCTION("CONCAT(LEFT(REGEXREPLACE(AX95, ""[^A-Za-z0-9]"", """"), 20), TEXT(ROW(AX95)-1, ""000""))"),"BestPracticesforMach094")</f>
        <v>BestPracticesforMach094</v>
      </c>
      <c r="W95" s="1" t="s">
        <v>57</v>
      </c>
      <c r="AF95" s="1" t="s">
        <v>316</v>
      </c>
      <c r="AL95" s="1" t="s">
        <v>483</v>
      </c>
      <c r="AT95" s="1" t="s">
        <v>318</v>
      </c>
      <c r="AX95" s="1" t="s">
        <v>484</v>
      </c>
      <c r="BC95" s="1">
        <v>2016</v>
      </c>
    </row>
    <row r="96" spans="3:55" ht="15.75" customHeight="1" x14ac:dyDescent="0.15">
      <c r="E96" s="1" t="s">
        <v>91</v>
      </c>
      <c r="G96" s="1" t="s">
        <v>485</v>
      </c>
      <c r="N96" s="1" t="str">
        <f ca="1">IFERROR(__xludf.DUMMYFUNCTION("CONCAT(LEFT(REGEXREPLACE(AX96, ""[^A-Za-z0-9]"", """"), 20), TEXT(ROW(AX96)-1, ""000""))"),"BeyondMemorizationVi095")</f>
        <v>BeyondMemorizationVi095</v>
      </c>
      <c r="W96" s="1" t="s">
        <v>86</v>
      </c>
      <c r="X96" s="1">
        <v>2310.0729799999999</v>
      </c>
      <c r="AS96" s="2" t="s">
        <v>486</v>
      </c>
      <c r="AX96" s="1" t="s">
        <v>487</v>
      </c>
      <c r="AZ96" s="2" t="s">
        <v>488</v>
      </c>
      <c r="BC96" s="1">
        <v>2024</v>
      </c>
    </row>
    <row r="97" spans="1:55" ht="15.75" customHeight="1" x14ac:dyDescent="0.15">
      <c r="E97" s="1" t="s">
        <v>91</v>
      </c>
      <c r="G97" s="1" t="s">
        <v>489</v>
      </c>
      <c r="N97" s="1" t="str">
        <f ca="1">IFERROR(__xludf.DUMMYFUNCTION("CONCAT(LEFT(REGEXREPLACE(AX97, ""[^A-Za-z0-9]"", """"), 20), TEXT(ROW(AX97)-1, ""000""))"),"BeyondMetricsACritic096")</f>
        <v>BeyondMetricsACritic096</v>
      </c>
      <c r="W97" s="1" t="s">
        <v>86</v>
      </c>
      <c r="X97" s="1">
        <v>2407.21072</v>
      </c>
      <c r="AS97" s="2" t="s">
        <v>486</v>
      </c>
      <c r="AX97" s="1" t="s">
        <v>490</v>
      </c>
      <c r="AZ97" s="2" t="s">
        <v>491</v>
      </c>
      <c r="BC97" s="1">
        <v>2024</v>
      </c>
    </row>
    <row r="98" spans="1:55" ht="15.75" customHeight="1" x14ac:dyDescent="0.15">
      <c r="G98" s="1" t="s">
        <v>492</v>
      </c>
      <c r="N98" s="1" t="str">
        <f ca="1">IFERROR(__xludf.DUMMYFUNCTION("CONCAT(LEFT(REGEXREPLACE(AX98, ""[^A-Za-z0-9]"", """"), 20), TEXT(ROW(AX98)-1, ""000""))"),"BeyondPreferencesinA097")</f>
        <v>BeyondPreferencesinA097</v>
      </c>
      <c r="W98" s="1" t="s">
        <v>57</v>
      </c>
      <c r="AF98" s="1" t="s">
        <v>493</v>
      </c>
      <c r="AX98" s="1" t="s">
        <v>494</v>
      </c>
      <c r="AZ98" t="s">
        <v>2751</v>
      </c>
      <c r="BC98" s="1">
        <v>2024</v>
      </c>
    </row>
    <row r="99" spans="1:55" ht="13" x14ac:dyDescent="0.15">
      <c r="E99" s="1" t="s">
        <v>91</v>
      </c>
      <c r="G99" s="1" t="s">
        <v>495</v>
      </c>
      <c r="N99" s="1" t="str">
        <f ca="1">IFERROR(__xludf.DUMMYFUNCTION("CONCAT(LEFT(REGEXREPLACE(AX99, ""[^A-Za-z0-9]"", """"), 20), TEXT(ROW(AX99)-1, ""000""))"),"BeyondtheImitationGa098")</f>
        <v>BeyondtheImitationGa098</v>
      </c>
      <c r="W99" s="1" t="s">
        <v>86</v>
      </c>
      <c r="X99" s="1">
        <v>2206.0461500000001</v>
      </c>
      <c r="AS99" s="2" t="s">
        <v>375</v>
      </c>
      <c r="AX99" s="1" t="s">
        <v>496</v>
      </c>
      <c r="AZ99" s="2" t="s">
        <v>497</v>
      </c>
      <c r="BC99" s="1">
        <v>2023</v>
      </c>
    </row>
    <row r="100" spans="1:55" ht="13" x14ac:dyDescent="0.15">
      <c r="G100" s="1" t="s">
        <v>498</v>
      </c>
      <c r="N100" s="1" t="str">
        <f ca="1">IFERROR(__xludf.DUMMYFUNCTION("CONCAT(LEFT(REGEXREPLACE(AX100, ""[^A-Za-z0-9]"", """"), 20), TEXT(ROW(AX100)-1, ""000""))"),"BiasandFairnessinLar099")</f>
        <v>BiasandFairnessinLar099</v>
      </c>
      <c r="W100" s="1" t="s">
        <v>57</v>
      </c>
      <c r="AF100" s="1" t="s">
        <v>499</v>
      </c>
      <c r="AM100" s="1">
        <v>3</v>
      </c>
      <c r="AP100" s="1" t="s">
        <v>500</v>
      </c>
      <c r="AT100" s="1" t="s">
        <v>501</v>
      </c>
      <c r="AX100" s="1" t="s">
        <v>502</v>
      </c>
      <c r="AZ100" s="2" t="s">
        <v>503</v>
      </c>
      <c r="BB100" s="1">
        <v>50</v>
      </c>
      <c r="BC100" s="1">
        <v>2024</v>
      </c>
    </row>
    <row r="101" spans="1:55" ht="13" x14ac:dyDescent="0.15">
      <c r="G101" s="1" t="s">
        <v>504</v>
      </c>
      <c r="N101" s="1" t="str">
        <f ca="1">IFERROR(__xludf.DUMMYFUNCTION("CONCAT(LEFT(REGEXREPLACE(AX101, ""[^A-Za-z0-9]"", """"), 20), TEXT(ROW(AX101)-1, ""000""))"),"BingChatDataExfiltra100")</f>
        <v>BingChatDataExfiltra100</v>
      </c>
      <c r="W101" s="1" t="s">
        <v>86</v>
      </c>
      <c r="Z101" s="1" t="s">
        <v>505</v>
      </c>
      <c r="AX101" s="1" t="s">
        <v>506</v>
      </c>
      <c r="BC101" s="1">
        <v>2023</v>
      </c>
    </row>
    <row r="102" spans="1:55" ht="13" x14ac:dyDescent="0.15">
      <c r="G102" s="1" t="s">
        <v>507</v>
      </c>
      <c r="M102" s="1" t="s">
        <v>508</v>
      </c>
      <c r="N102" s="1" t="str">
        <f ca="1">IFERROR(__xludf.DUMMYFUNCTION("CONCAT(LEFT(REGEXREPLACE(AX102, ""[^A-Za-z0-9]"", """"), 20), TEXT(ROW(AX102)-1, ""000""))"),"BLEUAmethodforautoma101")</f>
        <v>BLEUAmethodforautoma101</v>
      </c>
      <c r="W102" s="1" t="s">
        <v>64</v>
      </c>
      <c r="AP102" s="1" t="s">
        <v>509</v>
      </c>
      <c r="AX102" s="1" t="s">
        <v>510</v>
      </c>
      <c r="AZ102" t="s">
        <v>2698</v>
      </c>
      <c r="BC102" s="1">
        <v>2002</v>
      </c>
    </row>
    <row r="103" spans="1:55" ht="13" x14ac:dyDescent="0.15">
      <c r="C103" s="1" t="s">
        <v>511</v>
      </c>
      <c r="G103" s="1" t="s">
        <v>512</v>
      </c>
      <c r="M103" s="1" t="s">
        <v>513</v>
      </c>
      <c r="N103" s="1" t="str">
        <f ca="1">IFERROR(__xludf.DUMMYFUNCTION("CONCAT(LEFT(REGEXREPLACE(AX103, ""[^A-Za-z0-9]"", """"), 20), TEXT(ROW(AX103)-1, ""000""))"),"BOLDDatasetandMetric102")</f>
        <v>BOLDDatasetandMetric102</v>
      </c>
      <c r="T103" s="1" t="s">
        <v>514</v>
      </c>
      <c r="W103" s="1" t="s">
        <v>64</v>
      </c>
      <c r="AB103" s="1">
        <v>9781450383097</v>
      </c>
      <c r="AG103" s="1" t="s">
        <v>515</v>
      </c>
      <c r="AJ103" s="1" t="s">
        <v>516</v>
      </c>
      <c r="AN103" s="1">
        <v>11</v>
      </c>
      <c r="AP103" s="1" t="s">
        <v>517</v>
      </c>
      <c r="AT103" s="1" t="s">
        <v>518</v>
      </c>
      <c r="AV103" s="1" t="s">
        <v>519</v>
      </c>
      <c r="AX103" s="1" t="s">
        <v>520</v>
      </c>
      <c r="AZ103" s="2" t="s">
        <v>521</v>
      </c>
      <c r="BC103" s="1">
        <v>2021</v>
      </c>
    </row>
    <row r="104" spans="1:55" ht="13" x14ac:dyDescent="0.15">
      <c r="G104" s="1" t="s">
        <v>522</v>
      </c>
      <c r="N104" s="1" t="str">
        <f ca="1">IFERROR(__xludf.DUMMYFUNCTION("CONCAT(LEFT(REGEXREPLACE(AX104, ""[^A-Za-z0-9]"", """"), 20), TEXT(ROW(AX104)-1, ""000""))"),"BranchingOutBroadeni103")</f>
        <v>BranchingOutBroadeni103</v>
      </c>
      <c r="W104" s="1" t="s">
        <v>57</v>
      </c>
      <c r="AF104" s="1" t="s">
        <v>523</v>
      </c>
      <c r="AX104" s="1" t="s">
        <v>524</v>
      </c>
      <c r="AZ104" s="2" t="s">
        <v>525</v>
      </c>
      <c r="BC104" s="1">
        <v>2025</v>
      </c>
    </row>
    <row r="105" spans="1:55" ht="13" x14ac:dyDescent="0.15">
      <c r="G105" s="1" t="s">
        <v>526</v>
      </c>
      <c r="N105" s="1" t="str">
        <f ca="1">IFERROR(__xludf.DUMMYFUNCTION("CONCAT(LEFT(REGEXREPLACE(AX105, ""[^A-Za-z0-9]"", """"), 20), TEXT(ROW(AX105)-1, ""000""))"),"BuildYourAIIncidentR104")</f>
        <v>BuildYourAIIncidentR104</v>
      </c>
      <c r="W105" s="1" t="s">
        <v>57</v>
      </c>
      <c r="AD105" s="1" t="s">
        <v>527</v>
      </c>
      <c r="AF105" s="1" t="s">
        <v>528</v>
      </c>
      <c r="AL105" s="1" t="s">
        <v>529</v>
      </c>
      <c r="AX105" s="1" t="s">
        <v>530</v>
      </c>
      <c r="BC105" s="1">
        <v>2020</v>
      </c>
    </row>
    <row r="106" spans="1:55" ht="13" x14ac:dyDescent="0.15">
      <c r="G106" s="1" t="s">
        <v>531</v>
      </c>
      <c r="L106" s="2" t="s">
        <v>532</v>
      </c>
      <c r="N106" s="1" t="str">
        <f ca="1">IFERROR(__xludf.DUMMYFUNCTION("CONCAT(LEFT(REGEXREPLACE(AX106, ""[^A-Za-z0-9]"", """"), 20), TEXT(ROW(AX106)-1, ""000""))"),"BuildingaDistributed105")</f>
        <v>BuildingaDistributed105</v>
      </c>
      <c r="W106" s="1" t="s">
        <v>86</v>
      </c>
      <c r="AF106" s="1" t="s">
        <v>533</v>
      </c>
      <c r="AX106" s="1" t="s">
        <v>534</v>
      </c>
      <c r="AZ106" s="2" t="s">
        <v>535</v>
      </c>
      <c r="BC106" s="1">
        <v>2013</v>
      </c>
    </row>
    <row r="107" spans="1:55" ht="13" x14ac:dyDescent="0.15">
      <c r="G107" s="1" t="s">
        <v>536</v>
      </c>
      <c r="N107" s="1" t="str">
        <f ca="1">IFERROR(__xludf.DUMMYFUNCTION("CONCAT(LEFT(REGEXREPLACE(AX107, ""[^A-Za-z0-9]"", """"), 20), TEXT(ROW(AX107)-1, ""000""))"),"CevalAmultilevelmult106")</f>
        <v>CevalAmultilevelmult106</v>
      </c>
      <c r="W107" s="1" t="s">
        <v>86</v>
      </c>
      <c r="Z107" s="1" t="s">
        <v>537</v>
      </c>
      <c r="AX107" s="1" t="s">
        <v>538</v>
      </c>
      <c r="AZ107" s="2" t="s">
        <v>539</v>
      </c>
      <c r="BC107" s="1">
        <v>2024</v>
      </c>
    </row>
    <row r="108" spans="1:55" ht="13" x14ac:dyDescent="0.15">
      <c r="A108" s="1" t="s">
        <v>540</v>
      </c>
      <c r="D108" s="1" t="s">
        <v>541</v>
      </c>
      <c r="G108" s="1" t="s">
        <v>542</v>
      </c>
      <c r="N108" s="1" t="str">
        <f ca="1">IFERROR(__xludf.DUMMYFUNCTION("CONCAT(LEFT(REGEXREPLACE(AX108, ""[^A-Za-z0-9]"", """"), 20), TEXT(ROW(AX108)-1, ""000""))"),"CalibrationinDeepLea107")</f>
        <v>CalibrationinDeepLea107</v>
      </c>
      <c r="T108" s="1" t="s">
        <v>543</v>
      </c>
      <c r="W108" s="1" t="s">
        <v>86</v>
      </c>
      <c r="Y108" s="1" t="s">
        <v>544</v>
      </c>
      <c r="AG108" s="1" t="s">
        <v>545</v>
      </c>
      <c r="AK108" s="1" t="s">
        <v>129</v>
      </c>
      <c r="AL108" s="1" t="s">
        <v>546</v>
      </c>
      <c r="AT108" s="1" t="s">
        <v>91</v>
      </c>
      <c r="AW108" s="1" t="s">
        <v>547</v>
      </c>
      <c r="AX108" s="1" t="s">
        <v>548</v>
      </c>
      <c r="AZ108" s="2" t="s">
        <v>549</v>
      </c>
      <c r="BA108" s="3">
        <v>45793</v>
      </c>
      <c r="BC108" s="1">
        <v>2024</v>
      </c>
    </row>
    <row r="109" spans="1:55" ht="13" x14ac:dyDescent="0.15">
      <c r="G109" s="1" t="s">
        <v>550</v>
      </c>
      <c r="N109" s="1" t="str">
        <f ca="1">IFERROR(__xludf.DUMMYFUNCTION("CONCAT(LEFT(REGEXREPLACE(AX109, ""[^A-Za-z0-9]"", """"), 20), TEXT(ROW(AX109)-1, ""000""))"),"CamerasandSystemsAHi108")</f>
        <v>CamerasandSystemsAHi108</v>
      </c>
      <c r="T109" s="1" t="s">
        <v>551</v>
      </c>
      <c r="W109" s="1" t="s">
        <v>57</v>
      </c>
      <c r="AC109" s="1" t="s">
        <v>552</v>
      </c>
      <c r="AF109" s="1" t="s">
        <v>553</v>
      </c>
      <c r="AK109" s="1" t="s">
        <v>554</v>
      </c>
      <c r="AM109" s="1">
        <v>10</v>
      </c>
      <c r="AP109" s="1" t="s">
        <v>555</v>
      </c>
      <c r="AX109" s="1" t="s">
        <v>556</v>
      </c>
      <c r="BB109" s="1">
        <v>91</v>
      </c>
      <c r="BC109" s="1">
        <v>1982</v>
      </c>
    </row>
    <row r="110" spans="1:55" ht="13" x14ac:dyDescent="0.15">
      <c r="G110" s="1" t="s">
        <v>557</v>
      </c>
      <c r="N110" s="1" t="str">
        <f ca="1">IFERROR(__xludf.DUMMYFUNCTION("CONCAT(LEFT(REGEXREPLACE(AX110, ""[^A-Za-z0-9]"", """"), 20), TEXT(ROW(AX110)-1, ""000""))"),"CanLLMsPlanPathsinth109")</f>
        <v>CanLLMsPlanPathsinth109</v>
      </c>
      <c r="W110" s="1" t="s">
        <v>57</v>
      </c>
      <c r="AF110" s="1" t="s">
        <v>558</v>
      </c>
      <c r="AX110" s="1" t="s">
        <v>559</v>
      </c>
      <c r="AZ110" s="2" t="s">
        <v>560</v>
      </c>
      <c r="BC110" s="1">
        <v>2024</v>
      </c>
    </row>
    <row r="111" spans="1:55" ht="13" x14ac:dyDescent="0.15">
      <c r="E111" s="1" t="s">
        <v>91</v>
      </c>
      <c r="G111" s="1" t="s">
        <v>561</v>
      </c>
      <c r="N111" s="1" t="str">
        <f ca="1">IFERROR(__xludf.DUMMYFUNCTION("CONCAT(LEFT(REGEXREPLACE(AX111, ""[^A-Za-z0-9]"", """"), 20), TEXT(ROW(AX111)-1, ""000""))"),"CanWeTrustAIBenchmar110")</f>
        <v>CanWeTrustAIBenchmar110</v>
      </c>
      <c r="W111" s="1" t="s">
        <v>86</v>
      </c>
      <c r="X111" s="1">
        <v>2502.0655900000002</v>
      </c>
      <c r="AS111" s="2" t="s">
        <v>486</v>
      </c>
      <c r="AX111" s="1" t="s">
        <v>562</v>
      </c>
      <c r="AZ111" s="2" t="s">
        <v>563</v>
      </c>
      <c r="BC111" s="1">
        <v>2025</v>
      </c>
    </row>
    <row r="112" spans="1:55" ht="13" x14ac:dyDescent="0.15">
      <c r="E112" s="1" t="s">
        <v>91</v>
      </c>
      <c r="G112" s="1" t="s">
        <v>564</v>
      </c>
      <c r="N112" s="1" t="str">
        <f ca="1">IFERROR(__xludf.DUMMYFUNCTION("CONCAT(LEFT(REGEXREPLACE(AX112, ""[^A-Za-z0-9]"", """"), 20), TEXT(ROW(AX112)-1, ""000""))"),"CatastrophicJailbrea111")</f>
        <v>CatastrophicJailbrea111</v>
      </c>
      <c r="W112" s="1" t="s">
        <v>86</v>
      </c>
      <c r="X112" s="1">
        <v>2310.0698699999998</v>
      </c>
      <c r="AS112" s="2" t="s">
        <v>375</v>
      </c>
      <c r="AX112" s="1" t="s">
        <v>565</v>
      </c>
      <c r="AZ112" s="2" t="s">
        <v>566</v>
      </c>
      <c r="BC112" s="1">
        <v>2023</v>
      </c>
    </row>
    <row r="113" spans="3:55" ht="13" x14ac:dyDescent="0.15">
      <c r="G113" s="1" t="s">
        <v>567</v>
      </c>
      <c r="M113" s="1" t="s">
        <v>568</v>
      </c>
      <c r="N113" s="1" t="str">
        <f ca="1">IFERROR(__xludf.DUMMYFUNCTION("CONCAT(LEFT(REGEXREPLACE(AX113, ""[^A-Za-z0-9]"", """"), 20), TEXT(ROW(AX113)-1, ""000""))"),"CertifyingandRemovin112")</f>
        <v>CertifyingandRemovin112</v>
      </c>
      <c r="W113" s="1" t="s">
        <v>64</v>
      </c>
      <c r="AL113" s="1" t="s">
        <v>569</v>
      </c>
      <c r="AO113" s="1" t="s">
        <v>79</v>
      </c>
      <c r="AP113" s="1" t="s">
        <v>570</v>
      </c>
      <c r="AX113" s="1" t="s">
        <v>571</v>
      </c>
      <c r="BC113" s="1">
        <v>2015</v>
      </c>
    </row>
    <row r="114" spans="3:55" ht="13" x14ac:dyDescent="0.15">
      <c r="G114" s="1" t="s">
        <v>572</v>
      </c>
      <c r="N114" s="1" t="str">
        <f ca="1">IFERROR(__xludf.DUMMYFUNCTION("CONCAT(LEFT(REGEXREPLACE(AX114, ""[^A-Za-z0-9]"", """"), 20), TEXT(ROW(AX114)-1, ""000""))"),"ChainofthoughtPrompt113")</f>
        <v>ChainofthoughtPrompt113</v>
      </c>
      <c r="W114" s="1" t="s">
        <v>57</v>
      </c>
      <c r="AF114" s="1" t="s">
        <v>573</v>
      </c>
      <c r="AP114" s="1" t="s">
        <v>574</v>
      </c>
      <c r="AX114" s="1" t="s">
        <v>575</v>
      </c>
      <c r="AZ114" s="2" t="s">
        <v>576</v>
      </c>
      <c r="BB114" s="1">
        <v>35</v>
      </c>
      <c r="BC114" s="1">
        <v>2022</v>
      </c>
    </row>
    <row r="115" spans="3:55" ht="13" x14ac:dyDescent="0.15">
      <c r="G115" s="1" t="s">
        <v>577</v>
      </c>
      <c r="N115" s="1" t="str">
        <f ca="1">IFERROR(__xludf.DUMMYFUNCTION("CONCAT(LEFT(REGEXREPLACE(AX115, ""[^A-Za-z0-9]"", """"), 20), TEXT(ROW(AX115)-1, ""000""))"),"ChallengesforTranspa114")</f>
        <v>ChallengesforTranspa114</v>
      </c>
      <c r="W115" s="1" t="s">
        <v>57</v>
      </c>
      <c r="AF115" s="1" t="s">
        <v>578</v>
      </c>
      <c r="AL115" s="1" t="s">
        <v>579</v>
      </c>
      <c r="AX115" s="1" t="s">
        <v>580</v>
      </c>
      <c r="BC115" s="1">
        <v>2017</v>
      </c>
    </row>
    <row r="116" spans="3:55" ht="13" x14ac:dyDescent="0.15">
      <c r="G116" s="1" t="s">
        <v>581</v>
      </c>
      <c r="N116" s="1" t="str">
        <f ca="1">IFERROR(__xludf.DUMMYFUNCTION("CONCAT(LEFT(REGEXREPLACE(AX116, ""[^A-Za-z0-9]"", """"), 20), TEXT(ROW(AX116)-1, ""000""))"),"Challengesinsentimen115")</f>
        <v>Challengesinsentimen115</v>
      </c>
      <c r="W116" s="1" t="s">
        <v>57</v>
      </c>
      <c r="AF116" s="1" t="s">
        <v>582</v>
      </c>
      <c r="AP116" s="1" t="s">
        <v>583</v>
      </c>
      <c r="AT116" s="1" t="s">
        <v>193</v>
      </c>
      <c r="AX116" s="1" t="s">
        <v>584</v>
      </c>
      <c r="AZ116" t="s">
        <v>2752</v>
      </c>
      <c r="BC116" s="1">
        <v>2017</v>
      </c>
    </row>
    <row r="117" spans="3:55" ht="13" x14ac:dyDescent="0.15">
      <c r="E117" s="1" t="s">
        <v>91</v>
      </c>
      <c r="G117" s="1" t="s">
        <v>585</v>
      </c>
      <c r="N117" s="1" t="str">
        <f ca="1">IFERROR(__xludf.DUMMYFUNCTION("CONCAT(LEFT(REGEXREPLACE(AX117, ""[^A-Za-z0-9]"", """"), 20), TEXT(ROW(AX117)-1, ""000""))"),"ChallengingtheMachin116")</f>
        <v>ChallengingtheMachin116</v>
      </c>
      <c r="W117" s="1" t="s">
        <v>86</v>
      </c>
      <c r="X117" s="1">
        <v>2406.1043</v>
      </c>
      <c r="AS117" s="2" t="s">
        <v>152</v>
      </c>
      <c r="AX117" s="1" t="s">
        <v>586</v>
      </c>
      <c r="AZ117" s="2" t="s">
        <v>587</v>
      </c>
      <c r="BC117" s="1">
        <v>2024</v>
      </c>
    </row>
    <row r="118" spans="3:55" ht="13" x14ac:dyDescent="0.15">
      <c r="G118" s="1" t="s">
        <v>236</v>
      </c>
      <c r="N118" s="1" t="str">
        <f ca="1">IFERROR(__xludf.DUMMYFUNCTION("CONCAT(LEFT(REGEXREPLACE(AX118, ""[^A-Za-z0-9]"", """"), 20), TEXT(ROW(AX118)-1, ""000""))"),"ChatbotsinConsumerFi117")</f>
        <v>ChatbotsinConsumerFi117</v>
      </c>
      <c r="S118" s="1">
        <v>6</v>
      </c>
      <c r="W118" s="1" t="s">
        <v>57</v>
      </c>
      <c r="AF118" s="1" t="s">
        <v>588</v>
      </c>
      <c r="AK118" s="1" t="s">
        <v>407</v>
      </c>
      <c r="AX118" s="1" t="s">
        <v>589</v>
      </c>
      <c r="AZ118" s="2" t="s">
        <v>590</v>
      </c>
      <c r="BC118" s="1">
        <v>2023</v>
      </c>
    </row>
    <row r="119" spans="3:55" ht="13" x14ac:dyDescent="0.15">
      <c r="E119" s="1" t="s">
        <v>91</v>
      </c>
      <c r="G119" s="1" t="s">
        <v>591</v>
      </c>
      <c r="N119" s="1" t="str">
        <f ca="1">IFERROR(__xludf.DUMMYFUNCTION("CONCAT(LEFT(REGEXREPLACE(AX119, ""[^A-Za-z0-9]"", """"), 20), TEXT(ROW(AX119)-1, ""000""))"),"ClioPrivacyPreservin118")</f>
        <v>ClioPrivacyPreservin118</v>
      </c>
      <c r="W119" s="1" t="s">
        <v>86</v>
      </c>
      <c r="X119" s="1">
        <v>2412.1367799999998</v>
      </c>
      <c r="AS119" s="2" t="s">
        <v>152</v>
      </c>
      <c r="AX119" s="1" t="s">
        <v>592</v>
      </c>
      <c r="AZ119" s="2" t="s">
        <v>593</v>
      </c>
      <c r="BC119" s="1">
        <v>2024</v>
      </c>
    </row>
    <row r="120" spans="3:55" ht="13" x14ac:dyDescent="0.15">
      <c r="G120" s="1" t="s">
        <v>594</v>
      </c>
      <c r="N120" s="1" t="str">
        <f ca="1">IFERROR(__xludf.DUMMYFUNCTION("CONCAT(LEFT(REGEXREPLACE(AX120, ""[^A-Za-z0-9]"", """"), 20), TEXT(ROW(AX120)-1, ""000""))"),"CocreationforpolicyP119")</f>
        <v>CocreationforpolicyP119</v>
      </c>
      <c r="W120" s="1" t="s">
        <v>86</v>
      </c>
      <c r="Z120" s="1" t="s">
        <v>595</v>
      </c>
      <c r="AX120" s="1" t="s">
        <v>596</v>
      </c>
      <c r="BC120" s="1">
        <v>2022</v>
      </c>
    </row>
    <row r="121" spans="3:55" ht="13" x14ac:dyDescent="0.15">
      <c r="G121" s="1" t="s">
        <v>597</v>
      </c>
      <c r="N121" s="1" t="str">
        <f ca="1">IFERROR(__xludf.DUMMYFUNCTION("CONCAT(LEFT(REGEXREPLACE(AX121, ""[^A-Za-z0-9]"", """"), 20), TEXT(ROW(AX121)-1, ""000""))"),"Cocreationinsupporto120")</f>
        <v>Cocreationinsupporto120</v>
      </c>
      <c r="T121" s="1" t="s">
        <v>598</v>
      </c>
      <c r="W121" s="1" t="s">
        <v>57</v>
      </c>
      <c r="AF121" s="1" t="s">
        <v>599</v>
      </c>
      <c r="AM121" s="1">
        <v>1</v>
      </c>
      <c r="AP121" s="1" t="s">
        <v>600</v>
      </c>
      <c r="AX121" s="1" t="s">
        <v>601</v>
      </c>
      <c r="BB121" s="1">
        <v>9</v>
      </c>
      <c r="BC121" s="1">
        <v>2021</v>
      </c>
    </row>
    <row r="122" spans="3:55" ht="13" x14ac:dyDescent="0.15">
      <c r="G122" s="1" t="s">
        <v>602</v>
      </c>
      <c r="N122" s="1" t="str">
        <f ca="1">IFERROR(__xludf.DUMMYFUNCTION("CONCAT(LEFT(REGEXREPLACE(AX122, ""[^A-Za-z0-9]"", """"), 20), TEXT(ROW(AX122)-1, ""000""))"),"Codesignandethicalar121")</f>
        <v>Codesignandethicalar121</v>
      </c>
      <c r="W122" s="1" t="s">
        <v>57</v>
      </c>
      <c r="AF122" s="1" t="s">
        <v>603</v>
      </c>
      <c r="AM122" s="1">
        <v>2</v>
      </c>
      <c r="AX122" s="1" t="s">
        <v>604</v>
      </c>
      <c r="AZ122" t="s">
        <v>2699</v>
      </c>
      <c r="BB122" s="1">
        <v>8</v>
      </c>
      <c r="BC122" s="1">
        <v>2021</v>
      </c>
    </row>
    <row r="123" spans="3:55" ht="13" x14ac:dyDescent="0.15">
      <c r="C123" s="1" t="s">
        <v>511</v>
      </c>
      <c r="F123" s="1">
        <v>398</v>
      </c>
      <c r="G123" s="1" t="s">
        <v>605</v>
      </c>
      <c r="N123" s="1" t="str">
        <f ca="1">IFERROR(__xludf.DUMMYFUNCTION("CONCAT(LEFT(REGEXREPLACE(AX123, ""[^A-Za-z0-9]"", """"), 20), TEXT(ROW(AX123)-1, ""000""))"),"CodeifyingtheLawHowD122")</f>
        <v>CodeifyingtheLawHowD122</v>
      </c>
      <c r="T123" s="1" t="s">
        <v>606</v>
      </c>
      <c r="W123" s="1" t="s">
        <v>57</v>
      </c>
      <c r="AE123" s="5">
        <v>45597</v>
      </c>
      <c r="AF123" s="1" t="s">
        <v>607</v>
      </c>
      <c r="AG123" s="1" t="s">
        <v>608</v>
      </c>
      <c r="AK123" s="1" t="s">
        <v>609</v>
      </c>
      <c r="AM123" s="1" t="s">
        <v>610</v>
      </c>
      <c r="AN123" s="1">
        <v>37</v>
      </c>
      <c r="AT123" s="1" t="s">
        <v>518</v>
      </c>
      <c r="AX123" s="1" t="s">
        <v>611</v>
      </c>
      <c r="AZ123" s="2" t="s">
        <v>612</v>
      </c>
      <c r="BB123" s="1">
        <v>8</v>
      </c>
      <c r="BC123" s="1">
        <v>2024</v>
      </c>
    </row>
    <row r="124" spans="3:55" ht="13" x14ac:dyDescent="0.15">
      <c r="G124" s="1" t="s">
        <v>613</v>
      </c>
      <c r="N124" s="1" t="str">
        <f ca="1">IFERROR(__xludf.DUMMYFUNCTION("CONCAT(LEFT(REGEXREPLACE(AX124, ""[^A-Za-z0-9]"", """"), 20), TEXT(ROW(AX124)-1, ""000""))"),"Collaborativelearnin123")</f>
        <v>Collaborativelearnin123</v>
      </c>
      <c r="T124" s="1" t="s">
        <v>614</v>
      </c>
      <c r="W124" s="1" t="s">
        <v>57</v>
      </c>
      <c r="AF124" s="1" t="s">
        <v>615</v>
      </c>
      <c r="AM124" s="1">
        <v>3</v>
      </c>
      <c r="AP124" s="1" t="s">
        <v>616</v>
      </c>
      <c r="AX124" s="1" t="s">
        <v>617</v>
      </c>
      <c r="AZ124" s="2" t="s">
        <v>618</v>
      </c>
      <c r="BB124" s="1">
        <v>109</v>
      </c>
      <c r="BC124" s="1">
        <v>2012</v>
      </c>
    </row>
    <row r="125" spans="3:55" ht="13" x14ac:dyDescent="0.15">
      <c r="G125" s="1" t="s">
        <v>619</v>
      </c>
      <c r="N125" s="1" t="str">
        <f ca="1">IFERROR(__xludf.DUMMYFUNCTION("CONCAT(LEFT(REGEXREPLACE(AX125, ""[^A-Za-z0-9]"", """"), 20), TEXT(ROW(AX125)-1, ""000""))"),"Collectiveintelligen124")</f>
        <v>Collectiveintelligen124</v>
      </c>
      <c r="T125" s="1" t="s">
        <v>620</v>
      </c>
      <c r="W125" s="1" t="s">
        <v>57</v>
      </c>
      <c r="AF125" s="1" t="s">
        <v>621</v>
      </c>
      <c r="AM125" s="1">
        <v>6</v>
      </c>
      <c r="AP125" s="1" t="s">
        <v>622</v>
      </c>
      <c r="AX125" s="1" t="s">
        <v>623</v>
      </c>
      <c r="AZ125" s="2" t="s">
        <v>624</v>
      </c>
      <c r="BB125" s="1">
        <v>24</v>
      </c>
      <c r="BC125" s="1">
        <v>2015</v>
      </c>
    </row>
    <row r="126" spans="3:55" ht="13" x14ac:dyDescent="0.15">
      <c r="G126" s="1" t="s">
        <v>625</v>
      </c>
      <c r="N126" s="1" t="str">
        <f ca="1">IFERROR(__xludf.DUMMYFUNCTION("CONCAT(LEFT(REGEXREPLACE(AX126, ""[^A-Za-z0-9]"", """"), 20), TEXT(ROW(AX126)-1, ""000""))"),"ComparingFairRanking125")</f>
        <v>ComparingFairRanking125</v>
      </c>
      <c r="W126" s="1" t="s">
        <v>57</v>
      </c>
      <c r="AF126" s="1" t="s">
        <v>626</v>
      </c>
      <c r="AX126" s="1" t="s">
        <v>627</v>
      </c>
      <c r="AZ126" s="2" t="s">
        <v>628</v>
      </c>
      <c r="BC126" s="1">
        <v>2020</v>
      </c>
    </row>
    <row r="127" spans="3:55" ht="13" x14ac:dyDescent="0.15">
      <c r="G127" s="1" t="s">
        <v>629</v>
      </c>
      <c r="N127" s="1" t="str">
        <f ca="1">IFERROR(__xludf.DUMMYFUNCTION("CONCAT(LEFT(REGEXREPLACE(AX127, ""[^A-Za-z0-9]"", """"), 20), TEXT(ROW(AX127)-1, ""000""))"),"ComptrollersHandbook126")</f>
        <v>ComptrollersHandbook126</v>
      </c>
      <c r="W127" s="1" t="s">
        <v>86</v>
      </c>
      <c r="AA127" s="1" t="s">
        <v>630</v>
      </c>
      <c r="AK127" s="1" t="s">
        <v>631</v>
      </c>
      <c r="AX127" s="1" t="s">
        <v>632</v>
      </c>
      <c r="AZ127" s="2" t="s">
        <v>633</v>
      </c>
      <c r="BC127" s="1">
        <v>2023</v>
      </c>
    </row>
    <row r="128" spans="3:55" ht="13" x14ac:dyDescent="0.15">
      <c r="G128" s="1" t="s">
        <v>629</v>
      </c>
      <c r="N128" s="1" t="str">
        <f ca="1">IFERROR(__xludf.DUMMYFUNCTION("CONCAT(LEFT(REGEXREPLACE(AX128, ""[^A-Za-z0-9]"", """"), 20), TEXT(ROW(AX128)-1, ""000""))"),"ComptrollersHandbook127")</f>
        <v>ComptrollersHandbook127</v>
      </c>
      <c r="W128" s="1" t="s">
        <v>86</v>
      </c>
      <c r="AA128" s="1" t="s">
        <v>630</v>
      </c>
      <c r="AK128" s="1" t="s">
        <v>527</v>
      </c>
      <c r="AX128" s="1" t="s">
        <v>634</v>
      </c>
      <c r="AZ128" s="2" t="s">
        <v>635</v>
      </c>
      <c r="BC128" s="1">
        <v>2021</v>
      </c>
    </row>
    <row r="129" spans="3:55" ht="13" x14ac:dyDescent="0.15">
      <c r="G129" s="1" t="s">
        <v>636</v>
      </c>
      <c r="N129" s="1" t="str">
        <f ca="1">IFERROR(__xludf.DUMMYFUNCTION("CONCAT(LEFT(REGEXREPLACE(AX129, ""[^A-Za-z0-9]"", """"), 20), TEXT(ROW(AX129)-1, ""000""))"),"Computationalgraphsa128")</f>
        <v>Computationalgraphsa128</v>
      </c>
      <c r="W129" s="1" t="s">
        <v>57</v>
      </c>
      <c r="AF129" s="1" t="s">
        <v>637</v>
      </c>
      <c r="AM129" s="1">
        <v>1</v>
      </c>
      <c r="AP129" s="1" t="s">
        <v>638</v>
      </c>
      <c r="AT129" s="1" t="s">
        <v>639</v>
      </c>
      <c r="AX129" s="1" t="s">
        <v>640</v>
      </c>
      <c r="AZ129" t="s">
        <v>2753</v>
      </c>
      <c r="BB129" s="1">
        <v>11</v>
      </c>
      <c r="BC129" s="1">
        <v>1974</v>
      </c>
    </row>
    <row r="130" spans="3:55" ht="13" x14ac:dyDescent="0.15">
      <c r="E130" s="1" t="s">
        <v>91</v>
      </c>
      <c r="G130" s="1" t="s">
        <v>641</v>
      </c>
      <c r="N130" s="1" t="str">
        <f ca="1">IFERROR(__xludf.DUMMYFUNCTION("CONCAT(LEFT(REGEXREPLACE(AX130, ""[^A-Za-z0-9]"", """"), 20), TEXT(ROW(AX130)-1, ""000""))"),"ConcreteProblemsinAI129")</f>
        <v>ConcreteProblemsinAI129</v>
      </c>
      <c r="W130" s="1" t="s">
        <v>86</v>
      </c>
      <c r="X130" s="1">
        <v>2401.1089900000002</v>
      </c>
      <c r="AS130" s="2" t="s">
        <v>152</v>
      </c>
      <c r="AX130" s="1" t="s">
        <v>642</v>
      </c>
      <c r="AZ130" s="2" t="s">
        <v>643</v>
      </c>
      <c r="BC130" s="1">
        <v>2023</v>
      </c>
    </row>
    <row r="131" spans="3:55" ht="13" x14ac:dyDescent="0.15">
      <c r="G131" s="1" t="s">
        <v>644</v>
      </c>
      <c r="N131" s="1" t="str">
        <f ca="1">IFERROR(__xludf.DUMMYFUNCTION("CONCAT(LEFT(REGEXREPLACE(AX131, ""[^A-Za-z0-9]"", """"), 20), TEXT(ROW(AX131)-1, ""000""))"),"ConductorAIBiasBount130")</f>
        <v>ConductorAIBiasBount130</v>
      </c>
      <c r="W131" s="1" t="s">
        <v>86</v>
      </c>
      <c r="Z131" s="1" t="s">
        <v>645</v>
      </c>
      <c r="AX131" s="1" t="s">
        <v>646</v>
      </c>
    </row>
    <row r="132" spans="3:55" ht="13" x14ac:dyDescent="0.15">
      <c r="G132" s="1" t="s">
        <v>647</v>
      </c>
      <c r="M132" s="1" t="s">
        <v>648</v>
      </c>
      <c r="N132" s="1" t="str">
        <f ca="1">IFERROR(__xludf.DUMMYFUNCTION("CONCAT(LEFT(REGEXREPLACE(AX132, ""[^A-Za-z0-9]"", """"), 20), TEXT(ROW(AX132)-1, ""000""))"),"ConsistentIndividual131")</f>
        <v>ConsistentIndividual131</v>
      </c>
      <c r="V132" s="1" t="s">
        <v>649</v>
      </c>
      <c r="W132" s="1" t="s">
        <v>108</v>
      </c>
      <c r="AL132" s="1" t="s">
        <v>650</v>
      </c>
      <c r="AO132" s="1" t="s">
        <v>651</v>
      </c>
      <c r="AP132" s="1" t="s">
        <v>652</v>
      </c>
      <c r="AT132" s="1" t="s">
        <v>653</v>
      </c>
      <c r="AX132" s="1" t="s">
        <v>654</v>
      </c>
      <c r="BC132" s="1">
        <v>2017</v>
      </c>
    </row>
    <row r="133" spans="3:55" ht="13" x14ac:dyDescent="0.15">
      <c r="G133" s="1" t="s">
        <v>655</v>
      </c>
      <c r="N133" s="1" t="str">
        <f ca="1">IFERROR(__xludf.DUMMYFUNCTION("CONCAT(LEFT(REGEXREPLACE(AX133, ""[^A-Za-z0-9]"", """"), 20), TEXT(ROW(AX133)-1, ""000""))"),"ConstitutionalAIHarm132")</f>
        <v>ConstitutionalAIHarm132</v>
      </c>
      <c r="W133" s="1" t="s">
        <v>57</v>
      </c>
      <c r="AF133" s="1" t="s">
        <v>656</v>
      </c>
      <c r="AX133" s="1" t="s">
        <v>657</v>
      </c>
      <c r="AZ133" t="s">
        <v>2754</v>
      </c>
      <c r="BC133" s="1">
        <v>2022</v>
      </c>
    </row>
    <row r="134" spans="3:55" ht="13" x14ac:dyDescent="0.15">
      <c r="G134" s="1" t="s">
        <v>658</v>
      </c>
      <c r="N134" s="1" t="str">
        <f ca="1">IFERROR(__xludf.DUMMYFUNCTION("CONCAT(LEFT(REGEXREPLACE(AX134, ""[^A-Za-z0-9]"", """"), 20), TEXT(ROW(AX134)-1, ""000""))"),"Constructvalidityinp133")</f>
        <v>Constructvalidityinp133</v>
      </c>
      <c r="T134" s="1" t="s">
        <v>659</v>
      </c>
      <c r="W134" s="1" t="s">
        <v>57</v>
      </c>
      <c r="AF134" s="1" t="s">
        <v>134</v>
      </c>
      <c r="AM134" s="1">
        <v>4</v>
      </c>
      <c r="AP134" s="1" t="s">
        <v>660</v>
      </c>
      <c r="AT134" s="1" t="s">
        <v>136</v>
      </c>
      <c r="AX134" s="1" t="s">
        <v>661</v>
      </c>
      <c r="BB134" s="1">
        <v>52</v>
      </c>
      <c r="BC134" s="1">
        <v>1955</v>
      </c>
    </row>
    <row r="135" spans="3:55" ht="13" x14ac:dyDescent="0.15">
      <c r="G135" s="1" t="s">
        <v>662</v>
      </c>
      <c r="N135" s="1" t="str">
        <f ca="1">IFERROR(__xludf.DUMMYFUNCTION("CONCAT(LEFT(REGEXREPLACE(AX135, ""[^A-Za-z0-9]"", """"), 20), TEXT(ROW(AX135)-1, ""000""))"),"Conversationanalysis134")</f>
        <v>Conversationanalysis134</v>
      </c>
      <c r="W135" s="1" t="s">
        <v>69</v>
      </c>
      <c r="AT135" s="1" t="s">
        <v>663</v>
      </c>
      <c r="AX135" s="1" t="s">
        <v>664</v>
      </c>
      <c r="AZ135" t="s">
        <v>2755</v>
      </c>
      <c r="BC135" s="1">
        <v>2008</v>
      </c>
    </row>
    <row r="136" spans="3:55" ht="13" x14ac:dyDescent="0.15">
      <c r="G136" s="1" t="s">
        <v>665</v>
      </c>
      <c r="M136" s="1" t="s">
        <v>666</v>
      </c>
      <c r="N136" s="1" t="str">
        <f ca="1">IFERROR(__xludf.DUMMYFUNCTION("CONCAT(LEFT(REGEXREPLACE(AX136, ""[^A-Za-z0-9]"", """"), 20), TEXT(ROW(AX136)-1, ""000""))"),"Conversationalanalys135")</f>
        <v>Conversationalanalys135</v>
      </c>
      <c r="W136" s="1" t="s">
        <v>108</v>
      </c>
      <c r="AP136" s="1" t="s">
        <v>667</v>
      </c>
      <c r="AT136" s="1" t="s">
        <v>668</v>
      </c>
      <c r="AX136" s="1" t="s">
        <v>669</v>
      </c>
      <c r="AZ136" t="s">
        <v>2819</v>
      </c>
      <c r="BC136" s="1">
        <v>2014</v>
      </c>
    </row>
    <row r="137" spans="3:55" ht="13" x14ac:dyDescent="0.15">
      <c r="G137" s="1" t="s">
        <v>670</v>
      </c>
      <c r="N137" s="1" t="str">
        <f ca="1">IFERROR(__xludf.DUMMYFUNCTION("CONCAT(LEFT(REGEXREPLACE(AX137, ""[^A-Za-z0-9]"", """"), 20), TEXT(ROW(AX137)-1, ""000""))"),"ConversationalGround136")</f>
        <v>ConversationalGround136</v>
      </c>
      <c r="W137" s="1" t="s">
        <v>57</v>
      </c>
      <c r="AF137" s="1" t="s">
        <v>671</v>
      </c>
      <c r="AX137" s="1" t="s">
        <v>672</v>
      </c>
      <c r="AZ137" t="s">
        <v>2756</v>
      </c>
      <c r="BC137" s="1">
        <v>2024</v>
      </c>
    </row>
    <row r="138" spans="3:55" ht="13" x14ac:dyDescent="0.15">
      <c r="G138" s="1" t="s">
        <v>673</v>
      </c>
      <c r="N138" s="1" t="str">
        <f ca="1">IFERROR(__xludf.DUMMYFUNCTION("CONCAT(LEFT(REGEXREPLACE(AX138, ""[^A-Za-z0-9]"", """"), 20), TEXT(ROW(AX138)-1, ""000""))"),"CounterfactualExplan137")</f>
        <v>CounterfactualExplan137</v>
      </c>
      <c r="W138" s="1" t="s">
        <v>57</v>
      </c>
      <c r="AF138" s="1" t="s">
        <v>674</v>
      </c>
      <c r="AL138" s="1" t="s">
        <v>675</v>
      </c>
      <c r="AP138" s="1">
        <v>841</v>
      </c>
      <c r="AT138" s="1" t="s">
        <v>676</v>
      </c>
      <c r="AX138" s="1" t="s">
        <v>677</v>
      </c>
      <c r="BB138" s="1">
        <v>31</v>
      </c>
      <c r="BC138" s="1">
        <v>2017</v>
      </c>
    </row>
    <row r="139" spans="3:55" ht="13" x14ac:dyDescent="0.15">
      <c r="G139" s="1" t="s">
        <v>678</v>
      </c>
      <c r="N139" s="1" t="str">
        <f ca="1">IFERROR(__xludf.DUMMYFUNCTION("CONCAT(LEFT(REGEXREPLACE(AX139, ""[^A-Za-z0-9]"", """"), 20), TEXT(ROW(AX139)-1, ""000""))"),"CreditRiskScorecards138")</f>
        <v>CreditRiskScorecards138</v>
      </c>
      <c r="W139" s="1" t="s">
        <v>69</v>
      </c>
      <c r="AT139" s="1" t="s">
        <v>679</v>
      </c>
      <c r="AX139" s="1" t="s">
        <v>680</v>
      </c>
      <c r="AZ139" t="s">
        <v>2700</v>
      </c>
      <c r="BB139" s="1">
        <v>3</v>
      </c>
      <c r="BC139" s="1">
        <v>2012</v>
      </c>
    </row>
    <row r="140" spans="3:55" ht="13" x14ac:dyDescent="0.15">
      <c r="C140" s="1" t="s">
        <v>681</v>
      </c>
      <c r="G140" s="1" t="s">
        <v>682</v>
      </c>
      <c r="N140" s="1" t="str">
        <f ca="1">IFERROR(__xludf.DUMMYFUNCTION("CONCAT(LEFT(REGEXREPLACE(AX140, ""[^A-Za-z0-9]"", """"), 20), TEXT(ROW(AX140)-1, ""000""))"),"CybersecurityAttacks139")</f>
        <v>CybersecurityAttacks139</v>
      </c>
      <c r="U140" s="1" t="s">
        <v>683</v>
      </c>
      <c r="W140" s="1" t="s">
        <v>69</v>
      </c>
      <c r="AT140" s="1" t="s">
        <v>684</v>
      </c>
      <c r="AX140" s="1" t="s">
        <v>685</v>
      </c>
      <c r="AZ140" t="s">
        <v>2757</v>
      </c>
      <c r="BC140" s="1">
        <v>2020</v>
      </c>
    </row>
    <row r="141" spans="3:55" ht="13" x14ac:dyDescent="0.15">
      <c r="G141" s="1" t="s">
        <v>686</v>
      </c>
      <c r="N141" s="1" t="str">
        <f ca="1">IFERROR(__xludf.DUMMYFUNCTION("CONCAT(LEFT(REGEXREPLACE(AX141, ""[^A-Za-z0-9]"", """"), 20), TEXT(ROW(AX141)-1, ""000""))"),"DAIRAIPromptEngineer140")</f>
        <v>DAIRAIPromptEngineer140</v>
      </c>
      <c r="W141" s="1" t="s">
        <v>86</v>
      </c>
      <c r="Z141" s="1" t="s">
        <v>687</v>
      </c>
      <c r="AX141" s="1" t="s">
        <v>688</v>
      </c>
      <c r="BC141" s="1">
        <v>2024</v>
      </c>
    </row>
    <row r="142" spans="3:55" ht="13" x14ac:dyDescent="0.15">
      <c r="G142" s="1" t="s">
        <v>689</v>
      </c>
      <c r="N142" s="1" t="str">
        <f ca="1">IFERROR(__xludf.DUMMYFUNCTION("CONCAT(LEFT(REGEXREPLACE(AX142, ""[^A-Za-z0-9]"", """"), 20), TEXT(ROW(AX142)-1, ""000""))"),"DataCardsPlaybook141")</f>
        <v>DataCardsPlaybook141</v>
      </c>
      <c r="W142" s="1" t="s">
        <v>86</v>
      </c>
      <c r="AX142" s="1" t="s">
        <v>690</v>
      </c>
      <c r="AZ142" s="2" t="s">
        <v>691</v>
      </c>
      <c r="BC142" s="1">
        <v>2021</v>
      </c>
    </row>
    <row r="143" spans="3:55" ht="13" x14ac:dyDescent="0.15">
      <c r="G143" s="1" t="s">
        <v>692</v>
      </c>
      <c r="M143" s="1" t="s">
        <v>693</v>
      </c>
      <c r="N143" s="1" t="str">
        <f ca="1">IFERROR(__xludf.DUMMYFUNCTION("CONCAT(LEFT(REGEXREPLACE(AX143, ""[^A-Za-z0-9]"", """"), 20), TEXT(ROW(AX143)-1, ""000""))"),"DatacardsPurposefula142")</f>
        <v>DatacardsPurposefula142</v>
      </c>
      <c r="W143" s="1" t="s">
        <v>64</v>
      </c>
      <c r="AP143" s="1" t="s">
        <v>694</v>
      </c>
      <c r="AX143" s="1" t="s">
        <v>695</v>
      </c>
      <c r="AZ143" t="s">
        <v>2758</v>
      </c>
      <c r="BC143" s="1">
        <v>2022</v>
      </c>
    </row>
    <row r="144" spans="3:55" ht="13" x14ac:dyDescent="0.15">
      <c r="G144" s="1" t="s">
        <v>696</v>
      </c>
      <c r="N144" s="1" t="str">
        <f ca="1">IFERROR(__xludf.DUMMYFUNCTION("CONCAT(LEFT(REGEXREPLACE(AX144, ""[^A-Za-z0-9]"", """"), 20), TEXT(ROW(AX144)-1, ""000""))"),"DataPoisoningTheExpl143")</f>
        <v>DataPoisoningTheExpl143</v>
      </c>
      <c r="W144" s="1" t="s">
        <v>86</v>
      </c>
      <c r="Z144" s="1" t="s">
        <v>697</v>
      </c>
      <c r="AX144" s="1" t="s">
        <v>698</v>
      </c>
      <c r="BC144" s="1">
        <v>2024</v>
      </c>
    </row>
    <row r="145" spans="1:55" ht="13" x14ac:dyDescent="0.15">
      <c r="G145" s="1" t="s">
        <v>699</v>
      </c>
      <c r="N145" s="1" t="str">
        <f ca="1">IFERROR(__xludf.DUMMYFUNCTION("CONCAT(LEFT(REGEXREPLACE(AX145, ""[^A-Za-z0-9]"", """"), 20), TEXT(ROW(AX145)-1, ""000""))"),"DataPreprocessingTec144")</f>
        <v>DataPreprocessingTec144</v>
      </c>
      <c r="W145" s="1" t="s">
        <v>57</v>
      </c>
      <c r="AF145" s="1" t="s">
        <v>700</v>
      </c>
      <c r="AL145" s="1" t="s">
        <v>701</v>
      </c>
      <c r="AM145" s="1">
        <v>1</v>
      </c>
      <c r="AP145" s="1" t="s">
        <v>702</v>
      </c>
      <c r="AT145" s="1" t="s">
        <v>193</v>
      </c>
      <c r="AX145" s="1" t="s">
        <v>703</v>
      </c>
      <c r="BB145" s="1">
        <v>33</v>
      </c>
      <c r="BC145" s="1">
        <v>2012</v>
      </c>
    </row>
    <row r="146" spans="1:55" ht="13" x14ac:dyDescent="0.15">
      <c r="G146" s="1" t="s">
        <v>704</v>
      </c>
      <c r="N146" s="1" t="str">
        <f ca="1">IFERROR(__xludf.DUMMYFUNCTION("CONCAT(LEFT(REGEXREPLACE(AX146, ""[^A-Za-z0-9]"", """"), 20), TEXT(ROW(AX146)-1, ""000""))"),"Datastatementsfornat145")</f>
        <v>Datastatementsfornat145</v>
      </c>
      <c r="W146" s="1" t="s">
        <v>57</v>
      </c>
      <c r="AF146" s="1" t="s">
        <v>705</v>
      </c>
      <c r="AP146" s="1" t="s">
        <v>706</v>
      </c>
      <c r="AT146" s="1" t="s">
        <v>707</v>
      </c>
      <c r="AX146" s="1" t="s">
        <v>708</v>
      </c>
      <c r="AZ146" t="s">
        <v>2759</v>
      </c>
      <c r="BB146" s="1">
        <v>6</v>
      </c>
      <c r="BC146" s="1">
        <v>2018</v>
      </c>
    </row>
    <row r="147" spans="1:55" ht="13" x14ac:dyDescent="0.15">
      <c r="G147" s="1" t="s">
        <v>709</v>
      </c>
      <c r="N147" s="1" t="str">
        <f ca="1">IFERROR(__xludf.DUMMYFUNCTION("CONCAT(LEFT(REGEXREPLACE(AX147, ""[^A-Za-z0-9]"", """"), 20), TEXT(ROW(AX147)-1, ""000""))"),"DatastatementsFromte146")</f>
        <v>DatastatementsFromte146</v>
      </c>
      <c r="W147" s="1" t="s">
        <v>57</v>
      </c>
      <c r="AF147" s="1" t="s">
        <v>710</v>
      </c>
      <c r="AM147" s="1">
        <v>1</v>
      </c>
      <c r="AP147" s="1" t="s">
        <v>711</v>
      </c>
      <c r="AT147" s="1" t="s">
        <v>177</v>
      </c>
      <c r="AX147" s="1" t="s">
        <v>712</v>
      </c>
      <c r="AZ147" t="s">
        <v>2760</v>
      </c>
      <c r="BB147" s="1">
        <v>1</v>
      </c>
      <c r="BC147" s="1">
        <v>2024</v>
      </c>
    </row>
    <row r="148" spans="1:55" ht="13" x14ac:dyDescent="0.15">
      <c r="A148" s="1" t="s">
        <v>713</v>
      </c>
      <c r="G148" s="1" t="s">
        <v>714</v>
      </c>
      <c r="N148" s="1" t="str">
        <f ca="1">IFERROR(__xludf.DUMMYFUNCTION("CONCAT(LEFT(REGEXREPLACE(AX148, ""[^A-Za-z0-9]"", """"), 20), TEXT(ROW(AX148)-1, ""000""))"),"Datadrivenbusinessan147")</f>
        <v>Datadrivenbusinessan147</v>
      </c>
      <c r="T148" s="1" t="s">
        <v>715</v>
      </c>
      <c r="W148" s="1" t="s">
        <v>57</v>
      </c>
      <c r="AC148" s="1" t="s">
        <v>716</v>
      </c>
      <c r="AF148" s="1" t="s">
        <v>717</v>
      </c>
      <c r="AG148" s="1" t="s">
        <v>718</v>
      </c>
      <c r="AK148" s="1" t="s">
        <v>719</v>
      </c>
      <c r="AM148" s="1">
        <v>4</v>
      </c>
      <c r="AP148" s="1" t="s">
        <v>720</v>
      </c>
      <c r="AW148" s="1" t="s">
        <v>721</v>
      </c>
      <c r="AX148" s="1" t="s">
        <v>722</v>
      </c>
      <c r="AZ148" s="2" t="s">
        <v>723</v>
      </c>
      <c r="BA148" s="3">
        <v>45796</v>
      </c>
      <c r="BB148" s="1">
        <v>66</v>
      </c>
      <c r="BC148" s="1">
        <v>2023</v>
      </c>
    </row>
    <row r="149" spans="1:55" ht="13" x14ac:dyDescent="0.15">
      <c r="G149" s="1" t="s">
        <v>724</v>
      </c>
      <c r="N149" s="1" t="str">
        <f ca="1">IFERROR(__xludf.DUMMYFUNCTION("CONCAT(LEFT(REGEXREPLACE(AX149, ""[^A-Za-z0-9]"", """"), 20), TEXT(ROW(AX149)-1, ""000""))"),"DatasheetsforDataset148")</f>
        <v>DatasheetsforDataset148</v>
      </c>
      <c r="W149" s="1" t="s">
        <v>57</v>
      </c>
      <c r="AF149" s="1" t="s">
        <v>725</v>
      </c>
      <c r="AM149" s="1">
        <v>12</v>
      </c>
      <c r="AP149" s="1" t="s">
        <v>726</v>
      </c>
      <c r="AT149" s="1" t="s">
        <v>171</v>
      </c>
      <c r="AX149" s="1" t="s">
        <v>727</v>
      </c>
      <c r="AZ149" s="2" t="s">
        <v>728</v>
      </c>
      <c r="BB149" s="1">
        <v>64</v>
      </c>
      <c r="BC149" s="1">
        <v>2021</v>
      </c>
    </row>
    <row r="150" spans="1:55" ht="13" x14ac:dyDescent="0.15">
      <c r="G150" s="1" t="s">
        <v>729</v>
      </c>
      <c r="N150" s="1" t="str">
        <f ca="1">IFERROR(__xludf.DUMMYFUNCTION("CONCAT(LEFT(REGEXREPLACE(AX150, ""[^A-Za-z0-9]"", """"), 20), TEXT(ROW(AX150)-1, ""000""))"),"DealingwithBiasandFa149")</f>
        <v>DealingwithBiasandFa149</v>
      </c>
      <c r="W150" s="1" t="s">
        <v>86</v>
      </c>
      <c r="Z150" s="1" t="s">
        <v>730</v>
      </c>
      <c r="AX150" s="1" t="s">
        <v>731</v>
      </c>
      <c r="AZ150" s="2" t="s">
        <v>732</v>
      </c>
    </row>
    <row r="151" spans="1:55" ht="13" x14ac:dyDescent="0.15">
      <c r="G151" s="1" t="s">
        <v>733</v>
      </c>
      <c r="N151" s="1" t="str">
        <f ca="1">IFERROR(__xludf.DUMMYFUNCTION("CONCAT(LEFT(REGEXREPLACE(AX151, ""[^A-Za-z0-9]"", """"), 20), TEXT(ROW(AX151)-1, ""000""))"),"Dealingwithdisagreem150")</f>
        <v>Dealingwithdisagreem150</v>
      </c>
      <c r="W151" s="1" t="s">
        <v>57</v>
      </c>
      <c r="AF151" s="1" t="s">
        <v>705</v>
      </c>
      <c r="AP151" s="1" t="s">
        <v>734</v>
      </c>
      <c r="AT151" s="1" t="s">
        <v>735</v>
      </c>
      <c r="AX151" s="1" t="s">
        <v>736</v>
      </c>
      <c r="AZ151" t="s">
        <v>2701</v>
      </c>
      <c r="BB151" s="1">
        <v>10</v>
      </c>
      <c r="BC151" s="1">
        <v>2022</v>
      </c>
    </row>
    <row r="152" spans="1:55" ht="13" x14ac:dyDescent="0.15">
      <c r="G152" s="1" t="s">
        <v>737</v>
      </c>
      <c r="M152" s="1" t="s">
        <v>738</v>
      </c>
      <c r="N152" s="1" t="str">
        <f ca="1">IFERROR(__xludf.DUMMYFUNCTION("CONCAT(LEFT(REGEXREPLACE(AX152, ""[^A-Za-z0-9]"", """"), 20), TEXT(ROW(AX152)-1, ""000""))"),"Debiasingtextsafetyc151")</f>
        <v>Debiasingtextsafetyc151</v>
      </c>
      <c r="W152" s="1" t="s">
        <v>108</v>
      </c>
      <c r="AL152" s="1" t="s">
        <v>739</v>
      </c>
      <c r="AX152" s="1" t="s">
        <v>740</v>
      </c>
      <c r="AZ152" t="s">
        <v>2761</v>
      </c>
      <c r="BC152" s="1">
        <v>2024</v>
      </c>
    </row>
    <row r="153" spans="1:55" ht="13" x14ac:dyDescent="0.15">
      <c r="G153" s="1" t="s">
        <v>741</v>
      </c>
      <c r="N153" s="1" t="str">
        <f ca="1">IFERROR(__xludf.DUMMYFUNCTION("CONCAT(LEFT(REGEXREPLACE(AX153, ""[^A-Za-z0-9]"", """"), 20), TEXT(ROW(AX153)-1, ""000""))"),"DebuggingMachineLear152")</f>
        <v>DebuggingMachineLear152</v>
      </c>
      <c r="W153" s="1" t="s">
        <v>86</v>
      </c>
      <c r="AL153" s="1" t="s">
        <v>742</v>
      </c>
      <c r="AX153" s="1" t="s">
        <v>743</v>
      </c>
    </row>
    <row r="154" spans="1:55" ht="13" x14ac:dyDescent="0.15">
      <c r="G154" s="1" t="s">
        <v>335</v>
      </c>
      <c r="N154" s="1" t="str">
        <f ca="1">IFERROR(__xludf.DUMMYFUNCTION("CONCAT(LEFT(REGEXREPLACE(AX154, ""[^A-Za-z0-9]"", """"), 20), TEXT(ROW(AX154)-1, ""000""))"),"DebuggingtheBlackBox153")</f>
        <v>DebuggingtheBlackBox153</v>
      </c>
      <c r="W154" s="1" t="s">
        <v>57</v>
      </c>
      <c r="AF154" s="1" t="s">
        <v>744</v>
      </c>
      <c r="AL154" s="1" t="s">
        <v>745</v>
      </c>
      <c r="AX154" s="1" t="s">
        <v>746</v>
      </c>
      <c r="BC154" s="1">
        <v>2017</v>
      </c>
    </row>
    <row r="155" spans="1:55" ht="13" x14ac:dyDescent="0.15">
      <c r="G155" s="1" t="s">
        <v>747</v>
      </c>
      <c r="M155" s="1" t="s">
        <v>748</v>
      </c>
      <c r="N155" s="1" t="str">
        <f ca="1">IFERROR(__xludf.DUMMYFUNCTION("CONCAT(LEFT(REGEXREPLACE(AX155, ""[^A-Za-z0-9]"", """"), 20), TEXT(ROW(AX155)-1, ""000""))"),"DecisionTheoryforDis154")</f>
        <v>DecisionTheoryforDis154</v>
      </c>
      <c r="W155" s="1" t="s">
        <v>64</v>
      </c>
      <c r="AL155" s="1" t="s">
        <v>749</v>
      </c>
      <c r="AO155" s="1" t="s">
        <v>750</v>
      </c>
      <c r="AP155" s="1" t="s">
        <v>751</v>
      </c>
      <c r="AX155" s="1" t="s">
        <v>752</v>
      </c>
      <c r="BC155" s="1">
        <v>2012</v>
      </c>
    </row>
    <row r="156" spans="1:55" ht="13" x14ac:dyDescent="0.15">
      <c r="G156" s="1" t="s">
        <v>753</v>
      </c>
      <c r="N156" s="1" t="str">
        <f ca="1">IFERROR(__xludf.DUMMYFUNCTION("CONCAT(LEFT(REGEXREPLACE(AX156, ""[^A-Za-z0-9]"", """"), 20), TEXT(ROW(AX156)-1, ""000""))"),"DecodingTrustAcompre155")</f>
        <v>DecodingTrustAcompre155</v>
      </c>
      <c r="T156" s="1" t="s">
        <v>754</v>
      </c>
      <c r="W156" s="1" t="s">
        <v>86</v>
      </c>
      <c r="Z156" s="1" t="s">
        <v>755</v>
      </c>
      <c r="AX156" s="1" t="s">
        <v>756</v>
      </c>
      <c r="AZ156" s="2" t="s">
        <v>757</v>
      </c>
      <c r="BC156" s="1">
        <v>2024</v>
      </c>
    </row>
    <row r="157" spans="1:55" ht="13" x14ac:dyDescent="0.15">
      <c r="G157" s="1" t="s">
        <v>758</v>
      </c>
      <c r="M157" s="1" t="s">
        <v>759</v>
      </c>
      <c r="N157" s="1" t="str">
        <f ca="1">IFERROR(__xludf.DUMMYFUNCTION("CONCAT(LEFT(REGEXREPLACE(AX157, ""[^A-Za-z0-9]"", """"), 20), TEXT(ROW(AX157)-1, ""000""))"),"DeepFeatureSynthesis156")</f>
        <v>DeepFeatureSynthesis156</v>
      </c>
      <c r="W157" s="1" t="s">
        <v>64</v>
      </c>
      <c r="AL157" s="1" t="s">
        <v>760</v>
      </c>
      <c r="AO157" s="1" t="s">
        <v>750</v>
      </c>
      <c r="AP157" s="1" t="s">
        <v>761</v>
      </c>
      <c r="AX157" s="1" t="s">
        <v>762</v>
      </c>
      <c r="BC157" s="1">
        <v>2015</v>
      </c>
    </row>
    <row r="158" spans="1:55" ht="13" x14ac:dyDescent="0.15">
      <c r="G158" s="1" t="s">
        <v>763</v>
      </c>
      <c r="M158" s="1" t="s">
        <v>764</v>
      </c>
      <c r="N158" s="1" t="str">
        <f ca="1">IFERROR(__xludf.DUMMYFUNCTION("CONCAT(LEFT(REGEXREPLACE(AX158, ""[^A-Za-z0-9]"", """"), 20), TEXT(ROW(AX158)-1, ""000""))"),"DeepLearningwithDiff157")</f>
        <v>DeepLearningwithDiff157</v>
      </c>
      <c r="W158" s="1" t="s">
        <v>64</v>
      </c>
      <c r="AL158" s="1" t="s">
        <v>765</v>
      </c>
      <c r="AO158" s="1" t="s">
        <v>79</v>
      </c>
      <c r="AP158" s="1" t="s">
        <v>766</v>
      </c>
      <c r="AX158" s="1" t="s">
        <v>767</v>
      </c>
      <c r="BC158" s="1">
        <v>2016</v>
      </c>
    </row>
    <row r="159" spans="1:55" ht="13" x14ac:dyDescent="0.15">
      <c r="G159" s="1" t="s">
        <v>768</v>
      </c>
      <c r="L159" s="2" t="s">
        <v>769</v>
      </c>
      <c r="N159" s="1" t="str">
        <f ca="1">IFERROR(__xludf.DUMMYFUNCTION("CONCAT(LEFT(REGEXREPLACE(AX159, ""[^A-Za-z0-9]"", """"), 20), TEXT(ROW(AX159)-1, ""000""))"),"DeepLearningwithH2O158")</f>
        <v>DeepLearningwithH2O158</v>
      </c>
      <c r="W159" s="1" t="s">
        <v>770</v>
      </c>
      <c r="AK159" s="1" t="s">
        <v>527</v>
      </c>
      <c r="AX159" s="1" t="s">
        <v>771</v>
      </c>
      <c r="AZ159" s="2" t="s">
        <v>769</v>
      </c>
      <c r="BC159" s="1">
        <v>2015</v>
      </c>
    </row>
    <row r="160" spans="1:55" ht="13" x14ac:dyDescent="0.15">
      <c r="G160" s="1" t="s">
        <v>772</v>
      </c>
      <c r="M160" s="1" t="s">
        <v>773</v>
      </c>
      <c r="N160" s="1" t="str">
        <f ca="1">IFERROR(__xludf.DUMMYFUNCTION("CONCAT(LEFT(REGEXREPLACE(AX160, ""[^A-Za-z0-9]"", """"), 20), TEXT(ROW(AX160)-1, ""000""))"),"DeepNeuralNetworksar159")</f>
        <v>DeepNeuralNetworksar159</v>
      </c>
      <c r="W160" s="1" t="s">
        <v>64</v>
      </c>
      <c r="AL160" s="1" t="s">
        <v>774</v>
      </c>
      <c r="AP160" s="1" t="s">
        <v>775</v>
      </c>
      <c r="AX160" s="1" t="s">
        <v>776</v>
      </c>
      <c r="BC160" s="1">
        <v>2015</v>
      </c>
    </row>
    <row r="161" spans="5:55" ht="13" x14ac:dyDescent="0.15">
      <c r="G161" s="1" t="s">
        <v>777</v>
      </c>
      <c r="M161" s="1" t="s">
        <v>778</v>
      </c>
      <c r="N161" s="1" t="str">
        <f ca="1">IFERROR(__xludf.DUMMYFUNCTION("CONCAT(LEFT(REGEXREPLACE(AX161, ""[^A-Za-z0-9]"", """"), 20), TEXT(ROW(AX161)-1, ""000""))"),"DeepReinforcementLea160")</f>
        <v>DeepReinforcementLea160</v>
      </c>
      <c r="W161" s="1" t="s">
        <v>64</v>
      </c>
      <c r="AM161" s="1">
        <v>1</v>
      </c>
      <c r="AX161" s="1" t="s">
        <v>779</v>
      </c>
      <c r="AZ161" s="2" t="s">
        <v>780</v>
      </c>
      <c r="BB161" s="1">
        <v>32</v>
      </c>
      <c r="BC161" s="1">
        <v>2018</v>
      </c>
    </row>
    <row r="162" spans="5:55" ht="13" x14ac:dyDescent="0.15">
      <c r="G162" s="1" t="s">
        <v>781</v>
      </c>
      <c r="L162" s="2" t="s">
        <v>782</v>
      </c>
      <c r="N162" s="1" t="str">
        <f ca="1">IFERROR(__xludf.DUMMYFUNCTION("CONCAT(LEFT(REGEXREPLACE(AX162, ""[^A-Za-z0-9]"", """"), 20), TEXT(ROW(AX162)-1, ""000""))"),"DeepResidualLearning161")</f>
        <v>DeepResidualLearning161</v>
      </c>
      <c r="W162" s="1" t="s">
        <v>57</v>
      </c>
      <c r="AX162" s="1" t="s">
        <v>783</v>
      </c>
      <c r="AZ162" s="2" t="s">
        <v>782</v>
      </c>
      <c r="BC162" s="1">
        <v>2015</v>
      </c>
    </row>
    <row r="163" spans="5:55" ht="13" x14ac:dyDescent="0.15">
      <c r="G163" s="1" t="s">
        <v>784</v>
      </c>
      <c r="N163" s="1" t="str">
        <f ca="1">IFERROR(__xludf.DUMMYFUNCTION("CONCAT(LEFT(REGEXREPLACE(AX163, ""[^A-Za-z0-9]"", """"), 20), TEXT(ROW(AX163)-1, ""000""))"),"DeepfakesandChildSaf162")</f>
        <v>DeepfakesandChildSaf162</v>
      </c>
      <c r="W163" s="1" t="s">
        <v>86</v>
      </c>
      <c r="Z163" s="1" t="s">
        <v>785</v>
      </c>
      <c r="AX163" s="1" t="s">
        <v>786</v>
      </c>
      <c r="BC163" s="1">
        <v>2024</v>
      </c>
    </row>
    <row r="164" spans="5:55" ht="13" x14ac:dyDescent="0.15">
      <c r="G164" s="1" t="s">
        <v>787</v>
      </c>
      <c r="N164" s="1" t="str">
        <f ca="1">IFERROR(__xludf.DUMMYFUNCTION("CONCAT(LEFT(REGEXREPLACE(AX164, ""[^A-Za-z0-9]"", """"), 20), TEXT(ROW(AX164)-1, ""000""))"),"DefinitivePerformanc163")</f>
        <v>DefinitivePerformanc163</v>
      </c>
      <c r="W164" s="1" t="s">
        <v>86</v>
      </c>
      <c r="Z164" s="1" t="s">
        <v>788</v>
      </c>
      <c r="AF164" s="1" t="s">
        <v>533</v>
      </c>
      <c r="AM164" s="6">
        <v>46079</v>
      </c>
      <c r="AX164" s="1" t="s">
        <v>789</v>
      </c>
      <c r="AY164" s="1" t="s">
        <v>790</v>
      </c>
      <c r="BC164" s="1">
        <v>2015</v>
      </c>
    </row>
    <row r="165" spans="5:55" ht="13" x14ac:dyDescent="0.15">
      <c r="G165" s="1" t="s">
        <v>791</v>
      </c>
      <c r="N165" s="1" t="str">
        <f ca="1">IFERROR(__xludf.DUMMYFUNCTION("CONCAT(LEFT(REGEXREPLACE(AX165, ""[^A-Za-z0-9]"", """"), 20), TEXT(ROW(AX165)-1, ""000""))"),"DemocraticInputstoAI164")</f>
        <v>DemocraticInputstoAI164</v>
      </c>
      <c r="W165" s="1" t="s">
        <v>86</v>
      </c>
      <c r="AX165" s="1" t="s">
        <v>792</v>
      </c>
      <c r="AZ165" s="2" t="s">
        <v>793</v>
      </c>
      <c r="BC165" s="1">
        <v>2014</v>
      </c>
    </row>
    <row r="166" spans="5:55" ht="13" x14ac:dyDescent="0.15">
      <c r="G166" s="1" t="s">
        <v>794</v>
      </c>
      <c r="N166" s="1" t="str">
        <f ca="1">IFERROR(__xludf.DUMMYFUNCTION("CONCAT(LEFT(REGEXREPLACE(AX166, ""[^A-Za-z0-9]"", """"), 20), TEXT(ROW(AX166)-1, ""000""))"),"Designandanalysisofe165")</f>
        <v>Designandanalysisofe165</v>
      </c>
      <c r="W166" s="1" t="s">
        <v>69</v>
      </c>
      <c r="AT166" s="1" t="s">
        <v>795</v>
      </c>
      <c r="AX166" s="1" t="s">
        <v>796</v>
      </c>
      <c r="AZ166" s="2" t="s">
        <v>797</v>
      </c>
      <c r="BC166" s="1">
        <v>2019</v>
      </c>
    </row>
    <row r="167" spans="5:55" ht="13" x14ac:dyDescent="0.15">
      <c r="G167" s="1" t="s">
        <v>798</v>
      </c>
      <c r="N167" s="1" t="str">
        <f ca="1">IFERROR(__xludf.DUMMYFUNCTION("CONCAT(LEFT(REGEXREPLACE(AX167, ""[^A-Za-z0-9]"", """"), 20), TEXT(ROW(AX167)-1, ""000""))"),"DesigningInherentlyI166")</f>
        <v>DesigningInherentlyI166</v>
      </c>
      <c r="W167" s="1" t="s">
        <v>57</v>
      </c>
      <c r="AF167" s="1" t="s">
        <v>799</v>
      </c>
      <c r="AL167" s="1" t="s">
        <v>800</v>
      </c>
      <c r="AX167" s="1" t="s">
        <v>801</v>
      </c>
      <c r="BC167" s="1">
        <v>2021</v>
      </c>
    </row>
    <row r="168" spans="5:55" ht="13" x14ac:dyDescent="0.15">
      <c r="E168" s="1" t="s">
        <v>91</v>
      </c>
      <c r="G168" s="1" t="s">
        <v>802</v>
      </c>
      <c r="N168" s="1" t="str">
        <f ca="1">IFERROR(__xludf.DUMMYFUNCTION("CONCAT(LEFT(REGEXREPLACE(AX168, ""[^A-Za-z0-9]"", """"), 20), TEXT(ROW(AX168)-1, ""000""))"),"DetectingPretraining167")</f>
        <v>DetectingPretraining167</v>
      </c>
      <c r="W168" s="1" t="s">
        <v>86</v>
      </c>
      <c r="X168" s="1">
        <v>2310.1678900000002</v>
      </c>
      <c r="AS168" s="2" t="s">
        <v>375</v>
      </c>
      <c r="AX168" s="1" t="s">
        <v>803</v>
      </c>
      <c r="AZ168" s="2" t="s">
        <v>804</v>
      </c>
      <c r="BC168" s="1">
        <v>2024</v>
      </c>
    </row>
    <row r="169" spans="5:55" ht="13" x14ac:dyDescent="0.15">
      <c r="G169" s="1" t="s">
        <v>805</v>
      </c>
      <c r="N169" s="1" t="str">
        <f ca="1">IFERROR(__xludf.DUMMYFUNCTION("CONCAT(LEFT(REGEXREPLACE(AX169, ""[^A-Za-z0-9]"", """"), 20), TEXT(ROW(AX169)-1, ""000""))"),"Detectingsentimentto168")</f>
        <v>Detectingsentimentto168</v>
      </c>
      <c r="W169" s="1" t="s">
        <v>57</v>
      </c>
      <c r="AF169" s="1" t="s">
        <v>806</v>
      </c>
      <c r="AM169" s="1">
        <v>11</v>
      </c>
      <c r="AP169" s="1">
        <v>6759</v>
      </c>
      <c r="AT169" s="1" t="s">
        <v>807</v>
      </c>
      <c r="AX169" s="1" t="s">
        <v>808</v>
      </c>
      <c r="AZ169" t="s">
        <v>2762</v>
      </c>
      <c r="BB169" s="1">
        <v>19</v>
      </c>
      <c r="BC169" s="1">
        <v>2022</v>
      </c>
    </row>
    <row r="170" spans="5:55" ht="13" x14ac:dyDescent="0.15">
      <c r="G170" s="1" t="s">
        <v>809</v>
      </c>
      <c r="N170" s="1" t="str">
        <f ca="1">IFERROR(__xludf.DUMMYFUNCTION("CONCAT(LEFT(REGEXREPLACE(AX170, ""[^A-Za-z0-9]"", """"), 20), TEXT(ROW(AX170)-1, ""000""))"),"Detoxify169")</f>
        <v>Detoxify169</v>
      </c>
      <c r="W170" s="1" t="s">
        <v>86</v>
      </c>
      <c r="Z170" s="1" t="s">
        <v>810</v>
      </c>
      <c r="AX170" s="1" t="s">
        <v>811</v>
      </c>
      <c r="BC170" s="1">
        <v>2020</v>
      </c>
    </row>
    <row r="171" spans="5:55" ht="13" x14ac:dyDescent="0.15">
      <c r="G171" s="1" t="s">
        <v>812</v>
      </c>
      <c r="N171" s="1" t="str">
        <f ca="1">IFERROR(__xludf.DUMMYFUNCTION("CONCAT(LEFT(REGEXREPLACE(AX171, ""[^A-Za-z0-9]"", """"), 20), TEXT(ROW(AX171)-1, ""000""))"),"DifferentialPrivacya170")</f>
        <v>DifferentialPrivacya170</v>
      </c>
      <c r="W171" s="1" t="s">
        <v>57</v>
      </c>
      <c r="AF171" s="1" t="s">
        <v>813</v>
      </c>
      <c r="AL171" s="1" t="s">
        <v>814</v>
      </c>
      <c r="AX171" s="1" t="s">
        <v>815</v>
      </c>
      <c r="BC171" s="1">
        <v>2014</v>
      </c>
    </row>
    <row r="172" spans="5:55" ht="13" x14ac:dyDescent="0.15">
      <c r="G172" s="1" t="s">
        <v>816</v>
      </c>
      <c r="N172" s="1" t="str">
        <f ca="1">IFERROR(__xludf.DUMMYFUNCTION("CONCAT(LEFT(REGEXREPLACE(AX172, ""[^A-Za-z0-9]"", """"), 20), TEXT(ROW(AX172)-1, ""000""))"),"DiffprivlibTheIBMDif171")</f>
        <v>DiffprivlibTheIBMDif171</v>
      </c>
      <c r="W172" s="1" t="s">
        <v>57</v>
      </c>
      <c r="AF172" s="1" t="s">
        <v>817</v>
      </c>
      <c r="AL172" s="1" t="s">
        <v>818</v>
      </c>
      <c r="AX172" s="1" t="s">
        <v>819</v>
      </c>
      <c r="BC172" s="1">
        <v>2019</v>
      </c>
    </row>
    <row r="173" spans="5:55" ht="13" x14ac:dyDescent="0.15">
      <c r="G173" s="1" t="s">
        <v>820</v>
      </c>
      <c r="N173" s="1" t="str">
        <f ca="1">IFERROR(__xludf.DUMMYFUNCTION("CONCAT(LEFT(REGEXREPLACE(AX173, ""[^A-Za-z0-9]"", """"), 20), TEXT(ROW(AX173)-1, ""000""))"),"Discourseanddigitalp172")</f>
        <v>Discourseanddigitalp172</v>
      </c>
      <c r="W173" s="1" t="s">
        <v>69</v>
      </c>
      <c r="AT173" s="1" t="s">
        <v>146</v>
      </c>
      <c r="AX173" s="1" t="s">
        <v>821</v>
      </c>
      <c r="AZ173" t="s">
        <v>2763</v>
      </c>
      <c r="BC173" s="1">
        <v>2015</v>
      </c>
    </row>
    <row r="174" spans="5:55" ht="13" x14ac:dyDescent="0.15">
      <c r="G174" s="1" t="s">
        <v>231</v>
      </c>
      <c r="L174" s="2" t="s">
        <v>822</v>
      </c>
      <c r="N174" s="1" t="str">
        <f ca="1">IFERROR(__xludf.DUMMYFUNCTION("CONCAT(LEFT(REGEXREPLACE(AX174, ""[^A-Za-z0-9]"", """"), 20), TEXT(ROW(AX174)-1, ""000""))"),"DiscussionofBoosting173")</f>
        <v>DiscussionofBoosting173</v>
      </c>
      <c r="W174" s="1" t="s">
        <v>57</v>
      </c>
      <c r="AF174" s="1" t="s">
        <v>823</v>
      </c>
      <c r="AP174" s="1" t="s">
        <v>824</v>
      </c>
      <c r="AX174" s="1" t="s">
        <v>825</v>
      </c>
      <c r="AZ174" s="2" t="s">
        <v>822</v>
      </c>
      <c r="BB174" s="1">
        <v>32</v>
      </c>
      <c r="BC174" s="1">
        <v>2004</v>
      </c>
    </row>
    <row r="175" spans="5:55" ht="13" x14ac:dyDescent="0.15">
      <c r="G175" s="1" t="s">
        <v>826</v>
      </c>
      <c r="N175" s="1" t="str">
        <f ca="1">IFERROR(__xludf.DUMMYFUNCTION("CONCAT(LEFT(REGEXREPLACE(AX175, ""[^A-Za-z0-9]"", """"), 20), TEXT(ROW(AX175)-1, ""000""))"),"DissectingRacialBias174")</f>
        <v>DissectingRacialBias174</v>
      </c>
      <c r="W175" s="1" t="s">
        <v>57</v>
      </c>
      <c r="AF175" s="1" t="s">
        <v>827</v>
      </c>
      <c r="AL175" s="1" t="s">
        <v>828</v>
      </c>
      <c r="AM175" s="1">
        <v>6464</v>
      </c>
      <c r="AP175" s="1" t="s">
        <v>829</v>
      </c>
      <c r="AT175" s="1" t="s">
        <v>830</v>
      </c>
      <c r="AX175" s="1" t="s">
        <v>831</v>
      </c>
      <c r="BB175" s="1">
        <v>366</v>
      </c>
      <c r="BC175" s="1">
        <v>2019</v>
      </c>
    </row>
    <row r="176" spans="5:55" ht="13" x14ac:dyDescent="0.15">
      <c r="G176" s="1" t="s">
        <v>832</v>
      </c>
      <c r="L176" s="2" t="s">
        <v>833</v>
      </c>
      <c r="N176" s="1" t="str">
        <f ca="1">IFERROR(__xludf.DUMMYFUNCTION("CONCAT(LEFT(REGEXREPLACE(AX176, ""[^A-Za-z0-9]"", """"), 20), TEXT(ROW(AX176)-1, ""000""))"),"DistributedOptimizat175")</f>
        <v>DistributedOptimizat175</v>
      </c>
      <c r="W176" s="1" t="s">
        <v>57</v>
      </c>
      <c r="AF176" s="1" t="s">
        <v>834</v>
      </c>
      <c r="AM176" s="1">
        <v>1</v>
      </c>
      <c r="AP176" s="1" t="s">
        <v>835</v>
      </c>
      <c r="AX176" s="1" t="s">
        <v>836</v>
      </c>
      <c r="AZ176" s="2" t="s">
        <v>833</v>
      </c>
      <c r="BB176" s="1">
        <v>3</v>
      </c>
      <c r="BC176" s="1">
        <v>1996</v>
      </c>
    </row>
    <row r="177" spans="1:55" ht="13" x14ac:dyDescent="0.15">
      <c r="G177" s="1" t="s">
        <v>837</v>
      </c>
      <c r="M177" s="1" t="s">
        <v>447</v>
      </c>
      <c r="N177" s="1" t="str">
        <f ca="1">IFERROR(__xludf.DUMMYFUNCTION("CONCAT(LEFT(REGEXREPLACE(AX177, ""[^A-Za-z0-9]"", """"), 20), TEXT(ROW(AX177)-1, ""000""))"),"DistributedRepresent176")</f>
        <v>DistributedRepresent176</v>
      </c>
      <c r="V177" s="1" t="s">
        <v>838</v>
      </c>
      <c r="W177" s="1" t="s">
        <v>64</v>
      </c>
      <c r="AL177" s="1" t="s">
        <v>839</v>
      </c>
      <c r="AT177" s="1" t="s">
        <v>199</v>
      </c>
      <c r="AX177" s="1" t="s">
        <v>840</v>
      </c>
      <c r="BB177" s="1">
        <v>26</v>
      </c>
      <c r="BC177" s="1">
        <v>2013</v>
      </c>
    </row>
    <row r="178" spans="1:55" ht="13" x14ac:dyDescent="0.15">
      <c r="G178" s="1" t="s">
        <v>841</v>
      </c>
      <c r="N178" s="1" t="str">
        <f ca="1">IFERROR(__xludf.DUMMYFUNCTION("CONCAT(LEFT(REGEXREPLACE(AX178, ""[^A-Za-z0-9]"", """"), 20), TEXT(ROW(AX178)-1, ""000""))"),"DistributionFreePred177")</f>
        <v>DistributionFreePred177</v>
      </c>
      <c r="W178" s="1" t="s">
        <v>57</v>
      </c>
      <c r="AF178" s="1" t="s">
        <v>842</v>
      </c>
      <c r="AX178" s="1" t="s">
        <v>843</v>
      </c>
      <c r="AZ178" s="2" t="s">
        <v>844</v>
      </c>
      <c r="BC178" s="1">
        <v>2017</v>
      </c>
    </row>
    <row r="179" spans="1:55" ht="13" x14ac:dyDescent="0.15">
      <c r="G179" s="1" t="s">
        <v>845</v>
      </c>
      <c r="M179" s="1" t="s">
        <v>846</v>
      </c>
      <c r="N179" s="1" t="str">
        <f ca="1">IFERROR(__xludf.DUMMYFUNCTION("CONCAT(LEFT(REGEXREPLACE(AX179, ""[^A-Za-z0-9]"", """"), 20), TEXT(ROW(AX179)-1, ""000""))"),"DoanythingnowCharact178")</f>
        <v>DoanythingnowCharact178</v>
      </c>
      <c r="W179" s="1" t="s">
        <v>64</v>
      </c>
      <c r="AP179" s="1" t="s">
        <v>847</v>
      </c>
      <c r="AX179" s="1" t="s">
        <v>848</v>
      </c>
      <c r="AZ179" s="2" t="s">
        <v>849</v>
      </c>
      <c r="BC179" s="1">
        <v>2024</v>
      </c>
    </row>
    <row r="180" spans="1:55" ht="13" x14ac:dyDescent="0.15">
      <c r="E180" s="1" t="s">
        <v>91</v>
      </c>
      <c r="G180" s="1" t="s">
        <v>850</v>
      </c>
      <c r="N180" s="1" t="str">
        <f ca="1">IFERROR(__xludf.DUMMYFUNCTION("CONCAT(LEFT(REGEXREPLACE(AX180, ""[^A-Za-z0-9]"", """"), 20), TEXT(ROW(AX180)-1, ""000""))"),"DoImageNetClassifier179")</f>
        <v>DoImageNetClassifier179</v>
      </c>
      <c r="W180" s="1" t="s">
        <v>86</v>
      </c>
      <c r="X180" s="1">
        <v>1902.1081099999999</v>
      </c>
      <c r="AS180" s="2" t="s">
        <v>851</v>
      </c>
      <c r="AX180" s="1" t="s">
        <v>852</v>
      </c>
      <c r="AZ180" s="2" t="s">
        <v>853</v>
      </c>
      <c r="BC180" s="1">
        <v>2019</v>
      </c>
    </row>
    <row r="181" spans="1:55" ht="13" x14ac:dyDescent="0.15">
      <c r="G181" s="1" t="s">
        <v>854</v>
      </c>
      <c r="M181" s="1" t="s">
        <v>855</v>
      </c>
      <c r="N181" s="1" t="str">
        <f ca="1">IFERROR(__xludf.DUMMYFUNCTION("CONCAT(LEFT(REGEXREPLACE(AX181, ""[^A-Za-z0-9]"", """"), 20), TEXT(ROW(AX181)-1, ""000""))"),"Dolanguagemodelsplag180")</f>
        <v>Dolanguagemodelsplag180</v>
      </c>
      <c r="W181" s="1" t="s">
        <v>64</v>
      </c>
      <c r="AP181" s="1" t="s">
        <v>856</v>
      </c>
      <c r="AX181" s="1" t="s">
        <v>857</v>
      </c>
      <c r="AZ181" s="2" t="s">
        <v>858</v>
      </c>
      <c r="BC181" s="1">
        <v>2023</v>
      </c>
    </row>
    <row r="182" spans="1:55" ht="13" x14ac:dyDescent="0.15">
      <c r="G182" s="1" t="s">
        <v>859</v>
      </c>
      <c r="N182" s="1" t="str">
        <f ca="1">IFERROR(__xludf.DUMMYFUNCTION("CONCAT(LEFT(REGEXREPLACE(AX182, ""[^A-Za-z0-9]"", """"), 20), TEXT(ROW(AX182)-1, ""000""))"),"Domembershipinferenc181")</f>
        <v>Domembershipinferenc181</v>
      </c>
      <c r="W182" s="1" t="s">
        <v>86</v>
      </c>
      <c r="Z182" s="1" t="s">
        <v>860</v>
      </c>
      <c r="AL182" s="7">
        <v>46065</v>
      </c>
      <c r="AX182" s="1" t="s">
        <v>861</v>
      </c>
      <c r="AZ182" t="s">
        <v>2764</v>
      </c>
      <c r="BC182" s="1">
        <v>2024</v>
      </c>
    </row>
    <row r="183" spans="1:55" ht="13" x14ac:dyDescent="0.15">
      <c r="G183" s="1" t="s">
        <v>862</v>
      </c>
      <c r="M183" s="1" t="s">
        <v>863</v>
      </c>
      <c r="N183" s="1" t="str">
        <f ca="1">IFERROR(__xludf.DUMMYFUNCTION("CONCAT(LEFT(REGEXREPLACE(AX183, ""[^A-Za-z0-9]"", """"), 20), TEXT(ROW(AX183)-1, ""000""))"),"DonotanswerEvaluatin182")</f>
        <v>DonotanswerEvaluatin182</v>
      </c>
      <c r="W183" s="1" t="s">
        <v>64</v>
      </c>
      <c r="AP183" s="1" t="s">
        <v>864</v>
      </c>
      <c r="AX183" s="1" t="s">
        <v>865</v>
      </c>
      <c r="AZ183" t="s">
        <v>2765</v>
      </c>
      <c r="BC183" s="1">
        <v>2024</v>
      </c>
    </row>
    <row r="184" spans="1:55" ht="13" x14ac:dyDescent="0.15">
      <c r="E184" s="1" t="s">
        <v>91</v>
      </c>
      <c r="G184" s="1" t="s">
        <v>866</v>
      </c>
      <c r="N184" s="1" t="str">
        <f ca="1">IFERROR(__xludf.DUMMYFUNCTION("CONCAT(LEFT(REGEXREPLACE(AX184, ""[^A-Za-z0-9]"", """"), 20), TEXT(ROW(AX184)-1, ""000""))"),"DontListenToMeUnders183")</f>
        <v>DontListenToMeUnders183</v>
      </c>
      <c r="W184" s="1" t="s">
        <v>86</v>
      </c>
      <c r="X184" s="1">
        <v>2403.1733599999998</v>
      </c>
      <c r="AS184" s="2" t="s">
        <v>867</v>
      </c>
      <c r="AX184" s="1" t="s">
        <v>868</v>
      </c>
      <c r="AZ184" s="2" t="s">
        <v>869</v>
      </c>
      <c r="BC184" s="1">
        <v>2024</v>
      </c>
    </row>
    <row r="185" spans="1:55" ht="13" x14ac:dyDescent="0.15">
      <c r="G185" s="1" t="s">
        <v>870</v>
      </c>
      <c r="N185" s="1" t="str">
        <f ca="1">IFERROR(__xludf.DUMMYFUNCTION("CONCAT(LEFT(REGEXREPLACE(AX185, ""[^A-Za-z0-9]"", """"), 20), TEXT(ROW(AX185)-1, ""000""))"),"DQIMeasuringdataqual184")</f>
        <v>DQIMeasuringdataqual184</v>
      </c>
      <c r="W185" s="1" t="s">
        <v>57</v>
      </c>
      <c r="AF185" s="1" t="s">
        <v>871</v>
      </c>
      <c r="AX185" s="1" t="s">
        <v>872</v>
      </c>
      <c r="AZ185" t="s">
        <v>2702</v>
      </c>
      <c r="BC185" s="1">
        <v>2020</v>
      </c>
    </row>
    <row r="186" spans="1:55" ht="13" x14ac:dyDescent="0.15">
      <c r="G186" s="1" t="s">
        <v>873</v>
      </c>
      <c r="N186" s="1" t="str">
        <f ca="1">IFERROR(__xludf.DUMMYFUNCTION("CONCAT(LEFT(REGEXREPLACE(AX186, ""[^A-Za-z0-9]"", """"), 20), TEXT(ROW(AX186)-1, ""000""))"),"DraftforPublicCommen185")</f>
        <v>DraftforPublicCommen185</v>
      </c>
      <c r="W186" s="1" t="s">
        <v>95</v>
      </c>
      <c r="AA186" s="1" t="s">
        <v>157</v>
      </c>
      <c r="AX186" s="1" t="s">
        <v>874</v>
      </c>
      <c r="AZ186" t="s">
        <v>2703</v>
      </c>
      <c r="BC186" s="1">
        <v>2022</v>
      </c>
    </row>
    <row r="187" spans="1:55" ht="13" x14ac:dyDescent="0.15">
      <c r="G187" s="1" t="s">
        <v>875</v>
      </c>
      <c r="N187" s="1" t="str">
        <f ca="1">IFERROR(__xludf.DUMMYFUNCTION("CONCAT(LEFT(REGEXREPLACE(AX187, ""[^A-Za-z0-9]"", """"), 20), TEXT(ROW(AX187)-1, ""000""))"),"DRAFTSUPPLEMENTFaceA186")</f>
        <v>DRAFTSUPPLEMENTFaceA186</v>
      </c>
      <c r="W187" s="1" t="s">
        <v>57</v>
      </c>
      <c r="AF187" s="1" t="s">
        <v>876</v>
      </c>
      <c r="AX187" s="1" t="s">
        <v>877</v>
      </c>
      <c r="AZ187" t="s">
        <v>2704</v>
      </c>
      <c r="BB187" s="1">
        <v>8292</v>
      </c>
      <c r="BC187" s="1">
        <v>2026</v>
      </c>
    </row>
    <row r="188" spans="1:55" ht="13" x14ac:dyDescent="0.15">
      <c r="A188" s="1" t="s">
        <v>878</v>
      </c>
      <c r="D188" s="1" t="s">
        <v>879</v>
      </c>
      <c r="G188" s="1" t="s">
        <v>880</v>
      </c>
      <c r="N188" s="1" t="str">
        <f ca="1">IFERROR(__xludf.DUMMYFUNCTION("CONCAT(LEFT(REGEXREPLACE(AX188, ""[^A-Za-z0-9]"", """"), 20), TEXT(ROW(AX188)-1, ""000""))"),"DropoutasaBayesianAp187")</f>
        <v>DropoutasaBayesianAp187</v>
      </c>
      <c r="T188" s="1" t="s">
        <v>881</v>
      </c>
      <c r="W188" s="1" t="s">
        <v>86</v>
      </c>
      <c r="Y188" s="1" t="s">
        <v>882</v>
      </c>
      <c r="AG188" s="1" t="s">
        <v>351</v>
      </c>
      <c r="AK188" s="1" t="s">
        <v>266</v>
      </c>
      <c r="AL188" s="1" t="s">
        <v>883</v>
      </c>
      <c r="AT188" s="1" t="s">
        <v>91</v>
      </c>
      <c r="AW188" s="1" t="s">
        <v>884</v>
      </c>
      <c r="AX188" s="1" t="s">
        <v>885</v>
      </c>
      <c r="AZ188" s="2" t="s">
        <v>886</v>
      </c>
      <c r="BA188" s="3">
        <v>45793</v>
      </c>
      <c r="BC188" s="1">
        <v>2016</v>
      </c>
    </row>
    <row r="189" spans="1:55" ht="13" x14ac:dyDescent="0.15">
      <c r="C189" s="1" t="s">
        <v>887</v>
      </c>
      <c r="G189" s="1" t="s">
        <v>888</v>
      </c>
      <c r="M189" s="1" t="s">
        <v>889</v>
      </c>
      <c r="N189" s="1" t="str">
        <f ca="1">IFERROR(__xludf.DUMMYFUNCTION("CONCAT(LEFT(REGEXREPLACE(AX189, ""[^A-Za-z0-9]"", """"), 20), TEXT(ROW(AX189)-1, ""000""))"),"DynabenchRethinkingB188")</f>
        <v>DynabenchRethinkingB188</v>
      </c>
      <c r="T189" s="1" t="s">
        <v>890</v>
      </c>
      <c r="V189" s="1" t="s">
        <v>891</v>
      </c>
      <c r="W189" s="1" t="s">
        <v>64</v>
      </c>
      <c r="AK189" s="1" t="s">
        <v>407</v>
      </c>
      <c r="AP189" s="1" t="s">
        <v>892</v>
      </c>
      <c r="AT189" s="1" t="s">
        <v>893</v>
      </c>
      <c r="AX189" s="1" t="s">
        <v>894</v>
      </c>
      <c r="AZ189" s="2" t="s">
        <v>895</v>
      </c>
      <c r="BC189" s="1">
        <v>2021</v>
      </c>
    </row>
    <row r="190" spans="1:55" ht="13" x14ac:dyDescent="0.15">
      <c r="G190" s="1" t="s">
        <v>896</v>
      </c>
      <c r="M190" s="1" t="s">
        <v>897</v>
      </c>
      <c r="N190" s="1" t="str">
        <f ca="1">IFERROR(__xludf.DUMMYFUNCTION("CONCAT(LEFT(REGEXREPLACE(AX190, ""[^A-Za-z0-9]"", """"), 20), TEXT(ROW(AX190)-1, ""000""))"),"Easilyaccessibletext189")</f>
        <v>Easilyaccessibletext189</v>
      </c>
      <c r="T190" s="1" t="s">
        <v>898</v>
      </c>
      <c r="W190" s="1" t="s">
        <v>64</v>
      </c>
      <c r="AP190" s="1" t="s">
        <v>899</v>
      </c>
      <c r="AX190" s="1" t="s">
        <v>900</v>
      </c>
      <c r="AZ190" s="2" t="s">
        <v>901</v>
      </c>
      <c r="BC190" s="1">
        <v>2023</v>
      </c>
    </row>
    <row r="191" spans="1:55" ht="13" x14ac:dyDescent="0.15">
      <c r="G191" s="1" t="s">
        <v>902</v>
      </c>
      <c r="N191" s="1" t="str">
        <f ca="1">IFERROR(__xludf.DUMMYFUNCTION("CONCAT(LEFT(REGEXREPLACE(AX191, ""[^A-Za-z0-9]"", """"), 20), TEXT(ROW(AX191)-1, ""000""))"),"ECBGuidetoInternalMo190")</f>
        <v>ECBGuidetoInternalMo190</v>
      </c>
      <c r="W191" s="1" t="s">
        <v>86</v>
      </c>
      <c r="AA191" s="1" t="s">
        <v>903</v>
      </c>
      <c r="AK191" s="1" t="s">
        <v>719</v>
      </c>
      <c r="AX191" s="1" t="s">
        <v>904</v>
      </c>
      <c r="AZ191" s="2" t="s">
        <v>905</v>
      </c>
      <c r="BC191" s="1">
        <v>2025</v>
      </c>
    </row>
    <row r="192" spans="1:55" ht="13" x14ac:dyDescent="0.15">
      <c r="L192" s="2" t="s">
        <v>906</v>
      </c>
      <c r="N192" s="1" t="str">
        <f ca="1">IFERROR(__xludf.DUMMYFUNCTION("CONCAT(LEFT(REGEXREPLACE(AX192, ""[^A-Za-z0-9]"", """"), 20), TEXT(ROW(AX192)-1, ""000""))"),"EfficientBackProp191")</f>
        <v>EfficientBackProp191</v>
      </c>
      <c r="W192" s="1" t="s">
        <v>86</v>
      </c>
      <c r="AX192" s="1" t="s">
        <v>907</v>
      </c>
      <c r="AZ192" s="2" t="s">
        <v>906</v>
      </c>
      <c r="BC192" s="1">
        <v>1998</v>
      </c>
    </row>
    <row r="193" spans="1:55" ht="13" x14ac:dyDescent="0.15">
      <c r="G193" s="1" t="s">
        <v>908</v>
      </c>
      <c r="N193" s="1" t="str">
        <f ca="1">IFERROR(__xludf.DUMMYFUNCTION("CONCAT(LEFT(REGEXREPLACE(AX193, ""[^A-Za-z0-9]"", """"), 20), TEXT(ROW(AX193)-1, ""000""))"),"EfficientEstimationo192")</f>
        <v>EfficientEstimationo192</v>
      </c>
      <c r="W193" s="1" t="s">
        <v>57</v>
      </c>
      <c r="AF193" s="1" t="s">
        <v>909</v>
      </c>
      <c r="AX193" s="1" t="s">
        <v>910</v>
      </c>
      <c r="AZ193" s="2" t="s">
        <v>911</v>
      </c>
      <c r="BC193" s="1">
        <v>2013</v>
      </c>
    </row>
    <row r="194" spans="1:55" ht="13" x14ac:dyDescent="0.15">
      <c r="C194" s="1" t="s">
        <v>912</v>
      </c>
      <c r="G194" s="1" t="s">
        <v>913</v>
      </c>
      <c r="N194" s="1" t="str">
        <f ca="1">IFERROR(__xludf.DUMMYFUNCTION("CONCAT(LEFT(REGEXREPLACE(AX194, ""[^A-Za-z0-9]"", """"), 20), TEXT(ROW(AX194)-1, ""000""))"),"EmpireofAIDreamsandN193")</f>
        <v>EmpireofAIDreamsandN193</v>
      </c>
      <c r="W194" s="1" t="s">
        <v>69</v>
      </c>
      <c r="AT194" s="1" t="s">
        <v>914</v>
      </c>
      <c r="AX194" s="1" t="s">
        <v>915</v>
      </c>
      <c r="AZ194" t="s">
        <v>2705</v>
      </c>
      <c r="BC194" s="1">
        <v>2025</v>
      </c>
    </row>
    <row r="195" spans="1:55" ht="13" x14ac:dyDescent="0.15">
      <c r="G195" s="1" t="s">
        <v>916</v>
      </c>
      <c r="N195" s="1" t="str">
        <f ca="1">IFERROR(__xludf.DUMMYFUNCTION("CONCAT(LEFT(REGEXREPLACE(AX195, ""[^A-Za-z0-9]"", """"), 20), TEXT(ROW(AX195)-1, ""000""))"),"EmpiricalObservation194")</f>
        <v>EmpiricalObservation194</v>
      </c>
      <c r="W195" s="1" t="s">
        <v>57</v>
      </c>
      <c r="AF195" s="1" t="s">
        <v>917</v>
      </c>
      <c r="AM195" s="1">
        <v>10</v>
      </c>
      <c r="AP195" s="1" t="s">
        <v>918</v>
      </c>
      <c r="AT195" s="1" t="s">
        <v>272</v>
      </c>
      <c r="AX195" s="1" t="s">
        <v>919</v>
      </c>
      <c r="AZ195" s="2" t="s">
        <v>920</v>
      </c>
      <c r="BB195" s="1">
        <v>3</v>
      </c>
      <c r="BC195" s="1">
        <v>2021</v>
      </c>
    </row>
    <row r="196" spans="1:55" ht="13" x14ac:dyDescent="0.15">
      <c r="G196" s="1" t="s">
        <v>921</v>
      </c>
      <c r="N196" s="1" t="str">
        <f ca="1">IFERROR(__xludf.DUMMYFUNCTION("CONCAT(LEFT(REGEXREPLACE(AX196, ""[^A-Za-z0-9]"", """"), 20), TEXT(ROW(AX196)-1, ""000""))"),"EnhancingExplainabil195")</f>
        <v>EnhancingExplainabil195</v>
      </c>
      <c r="W196" s="1" t="s">
        <v>57</v>
      </c>
      <c r="AF196" s="1" t="s">
        <v>922</v>
      </c>
      <c r="AL196" s="1" t="s">
        <v>923</v>
      </c>
      <c r="AX196" s="1" t="s">
        <v>924</v>
      </c>
      <c r="BC196" s="1">
        <v>2019</v>
      </c>
    </row>
    <row r="197" spans="1:55" ht="13" x14ac:dyDescent="0.15">
      <c r="G197" s="1" t="s">
        <v>925</v>
      </c>
      <c r="N197" s="1" t="str">
        <f ca="1">IFERROR(__xludf.DUMMYFUNCTION("CONCAT(LEFT(REGEXREPLACE(AX197, ""[^A-Za-z0-9]"", """"), 20), TEXT(ROW(AX197)-1, ""000""))"),"EnshitificationWhyEv196")</f>
        <v>EnshitificationWhyEv196</v>
      </c>
      <c r="W197" s="1" t="s">
        <v>69</v>
      </c>
      <c r="AT197" s="1" t="s">
        <v>926</v>
      </c>
      <c r="AX197" s="1" t="s">
        <v>927</v>
      </c>
      <c r="AZ197" t="s">
        <v>2706</v>
      </c>
      <c r="BC197" s="1">
        <v>2025</v>
      </c>
    </row>
    <row r="198" spans="1:55" ht="13" x14ac:dyDescent="0.15">
      <c r="G198" s="1" t="s">
        <v>928</v>
      </c>
      <c r="M198" s="1" t="s">
        <v>573</v>
      </c>
      <c r="N198" s="1" t="str">
        <f ca="1">IFERROR(__xludf.DUMMYFUNCTION("CONCAT(LEFT(REGEXREPLACE(AX198, ""[^A-Za-z0-9]"", """"), 20), TEXT(ROW(AX198)-1, ""000""))"),"EqualityofOpportunit197")</f>
        <v>EqualityofOpportunit197</v>
      </c>
      <c r="W198" s="1" t="s">
        <v>64</v>
      </c>
      <c r="AL198" s="1" t="s">
        <v>929</v>
      </c>
      <c r="AP198" s="1" t="s">
        <v>930</v>
      </c>
      <c r="AX198" s="1" t="s">
        <v>931</v>
      </c>
      <c r="BC198" s="1">
        <v>2016</v>
      </c>
    </row>
    <row r="199" spans="1:55" ht="13" x14ac:dyDescent="0.15">
      <c r="G199" s="1" t="s">
        <v>932</v>
      </c>
      <c r="N199" s="1" t="str">
        <f ca="1">IFERROR(__xludf.DUMMYFUNCTION("CONCAT(LEFT(REGEXREPLACE(AX199, ""[^A-Za-z0-9]"", """"), 20), TEXT(ROW(AX199)-1, ""000""))"),"Ergonomicsofhumansys198")</f>
        <v>Ergonomicsofhumansys198</v>
      </c>
      <c r="W199" s="1" t="s">
        <v>95</v>
      </c>
      <c r="AA199" s="1" t="s">
        <v>933</v>
      </c>
      <c r="AM199" s="8">
        <v>386.44305555555553</v>
      </c>
      <c r="AX199" s="1" t="s">
        <v>934</v>
      </c>
      <c r="AZ199" t="s">
        <v>2707</v>
      </c>
      <c r="BC199" s="1">
        <v>2018</v>
      </c>
    </row>
    <row r="200" spans="1:55" ht="13" x14ac:dyDescent="0.15">
      <c r="G200" s="1" t="s">
        <v>935</v>
      </c>
      <c r="N200" s="1" t="str">
        <f ca="1">IFERROR(__xludf.DUMMYFUNCTION("CONCAT(LEFT(REGEXREPLACE(AX200, ""[^A-Za-z0-9]"", """"), 20), TEXT(ROW(AX200)-1, ""000""))"),"EthicsOwnersANewMode199")</f>
        <v>EthicsOwnersANewMode199</v>
      </c>
      <c r="W200" s="1" t="s">
        <v>69</v>
      </c>
      <c r="AK200" s="1" t="s">
        <v>936</v>
      </c>
      <c r="AT200" s="1" t="s">
        <v>937</v>
      </c>
      <c r="AX200" s="1" t="s">
        <v>938</v>
      </c>
      <c r="AZ200" s="2" t="s">
        <v>939</v>
      </c>
      <c r="BC200" s="1">
        <v>2020</v>
      </c>
    </row>
    <row r="201" spans="1:55" ht="13" x14ac:dyDescent="0.15">
      <c r="E201" s="1" t="s">
        <v>91</v>
      </c>
      <c r="G201" s="1" t="s">
        <v>940</v>
      </c>
      <c r="N201" s="1" t="str">
        <f ca="1">IFERROR(__xludf.DUMMYFUNCTION("CONCAT(LEFT(REGEXREPLACE(AX201, ""[^A-Za-z0-9]"", """"), 20), TEXT(ROW(AX201)-1, ""000""))"),"EvaluatingandMitigat200")</f>
        <v>EvaluatingandMitigat200</v>
      </c>
      <c r="W201" s="1" t="s">
        <v>86</v>
      </c>
      <c r="X201" s="1">
        <v>2312.0368899999999</v>
      </c>
      <c r="AS201" s="2" t="s">
        <v>375</v>
      </c>
      <c r="AX201" s="1" t="s">
        <v>941</v>
      </c>
      <c r="AZ201" s="2" t="s">
        <v>942</v>
      </c>
      <c r="BC201" s="1">
        <v>2023</v>
      </c>
    </row>
    <row r="202" spans="1:55" ht="13" x14ac:dyDescent="0.15">
      <c r="G202" s="1" t="s">
        <v>943</v>
      </c>
      <c r="N202" s="1" t="str">
        <f ca="1">IFERROR(__xludf.DUMMYFUNCTION("CONCAT(LEFT(REGEXREPLACE(AX202, ""[^A-Za-z0-9]"", """"), 20), TEXT(ROW(AX202)-1, ""000""))"),"EvaluatingGenerative201")</f>
        <v>EvaluatingGenerative201</v>
      </c>
      <c r="W202" s="1" t="s">
        <v>57</v>
      </c>
      <c r="AF202" s="1" t="s">
        <v>944</v>
      </c>
      <c r="AX202" s="1" t="s">
        <v>945</v>
      </c>
      <c r="AZ202" s="2" t="s">
        <v>946</v>
      </c>
      <c r="BC202" s="1">
        <v>2024</v>
      </c>
    </row>
    <row r="203" spans="1:55" ht="13" x14ac:dyDescent="0.15">
      <c r="G203" s="1" t="s">
        <v>947</v>
      </c>
      <c r="N203" s="1" t="str">
        <f ca="1">IFERROR(__xludf.DUMMYFUNCTION("CONCAT(LEFT(REGEXREPLACE(AX203, ""[^A-Za-z0-9]"", """"), 20), TEXT(ROW(AX203)-1, ""000""))"),"Evaluatinglargelangu202")</f>
        <v>Evaluatinglargelangu202</v>
      </c>
      <c r="W203" s="1" t="s">
        <v>57</v>
      </c>
      <c r="AF203" s="1" t="s">
        <v>948</v>
      </c>
      <c r="AX203" s="1" t="s">
        <v>949</v>
      </c>
      <c r="AZ203" t="s">
        <v>2766</v>
      </c>
      <c r="BC203" s="1">
        <v>2021</v>
      </c>
    </row>
    <row r="204" spans="1:55" ht="13" x14ac:dyDescent="0.15">
      <c r="A204" s="1" t="s">
        <v>950</v>
      </c>
      <c r="G204" s="1" t="s">
        <v>951</v>
      </c>
      <c r="N204" s="1" t="str">
        <f ca="1">IFERROR(__xludf.DUMMYFUNCTION("CONCAT(LEFT(REGEXREPLACE(AX204, ""[^A-Za-z0-9]"", """"), 20), TEXT(ROW(AX204)-1, ""000""))"),"Evaluatingreplicabil203")</f>
        <v>Evaluatingreplicabil203</v>
      </c>
      <c r="T204" s="1" t="s">
        <v>952</v>
      </c>
      <c r="W204" s="1" t="s">
        <v>57</v>
      </c>
      <c r="AF204" s="1" t="s">
        <v>827</v>
      </c>
      <c r="AM204" s="1">
        <v>6280</v>
      </c>
      <c r="AP204" s="1" t="s">
        <v>953</v>
      </c>
      <c r="AX204" s="1" t="s">
        <v>954</v>
      </c>
      <c r="AZ204" s="2" t="s">
        <v>955</v>
      </c>
      <c r="BB204" s="1">
        <v>351</v>
      </c>
      <c r="BC204" s="1">
        <v>2016</v>
      </c>
    </row>
    <row r="205" spans="1:55" ht="13" x14ac:dyDescent="0.15">
      <c r="G205" s="1" t="s">
        <v>956</v>
      </c>
      <c r="N205" s="1" t="str">
        <f ca="1">IFERROR(__xludf.DUMMYFUNCTION("CONCAT(LEFT(REGEXREPLACE(AX205, ""[^A-Za-z0-9]"", """"), 20), TEXT(ROW(AX205)-1, ""000""))"),"Evaluatingthereplica204")</f>
        <v>Evaluatingthereplica204</v>
      </c>
      <c r="T205" s="1" t="s">
        <v>957</v>
      </c>
      <c r="W205" s="1" t="s">
        <v>57</v>
      </c>
      <c r="AF205" s="1" t="s">
        <v>958</v>
      </c>
      <c r="AK205" s="1">
        <v>9</v>
      </c>
      <c r="AX205" s="1" t="s">
        <v>959</v>
      </c>
      <c r="BB205" s="1">
        <v>2</v>
      </c>
      <c r="BC205" s="1">
        <v>2018</v>
      </c>
    </row>
    <row r="206" spans="1:55" ht="13" x14ac:dyDescent="0.15">
      <c r="G206" s="1" t="s">
        <v>960</v>
      </c>
      <c r="N206" s="1" t="str">
        <f ca="1">IFERROR(__xludf.DUMMYFUNCTION("CONCAT(LEFT(REGEXREPLACE(AX206, ""[^A-Za-z0-9]"", """"), 20), TEXT(ROW(AX206)-1, ""000""))"),"Evaluationinartifici205")</f>
        <v>Evaluationinartifici205</v>
      </c>
      <c r="W206" s="1" t="s">
        <v>57</v>
      </c>
      <c r="AF206" s="1" t="s">
        <v>961</v>
      </c>
      <c r="AM206" s="1">
        <v>3</v>
      </c>
      <c r="AP206" s="1" t="s">
        <v>962</v>
      </c>
      <c r="AT206" s="1" t="s">
        <v>193</v>
      </c>
      <c r="AX206" s="1" t="s">
        <v>963</v>
      </c>
      <c r="AZ206" t="s">
        <v>2767</v>
      </c>
      <c r="BB206" s="1">
        <v>48</v>
      </c>
      <c r="BC206" s="1">
        <v>2017</v>
      </c>
    </row>
    <row r="207" spans="1:55" ht="13" x14ac:dyDescent="0.15">
      <c r="G207" s="1" t="s">
        <v>964</v>
      </c>
      <c r="N207" s="1" t="str">
        <f ca="1">IFERROR(__xludf.DUMMYFUNCTION("CONCAT(LEFT(REGEXREPLACE(AX207, ""[^A-Za-z0-9]"", """"), 20), TEXT(ROW(AX207)-1, ""000""))"),"EvaluationofMeasurem206")</f>
        <v>EvaluationofMeasurem206</v>
      </c>
      <c r="W207" s="1" t="s">
        <v>95</v>
      </c>
      <c r="AA207" s="1" t="s">
        <v>965</v>
      </c>
      <c r="AX207" s="1" t="s">
        <v>966</v>
      </c>
      <c r="AZ207" s="2" t="s">
        <v>967</v>
      </c>
      <c r="BC207" s="1">
        <v>2008</v>
      </c>
    </row>
    <row r="208" spans="1:55" ht="13" x14ac:dyDescent="0.15">
      <c r="C208" s="1" t="s">
        <v>511</v>
      </c>
      <c r="F208" s="1">
        <v>39</v>
      </c>
      <c r="G208" s="1" t="s">
        <v>968</v>
      </c>
      <c r="M208" s="1" t="s">
        <v>969</v>
      </c>
      <c r="N208" s="1" t="str">
        <f ca="1">IFERROR(__xludf.DUMMYFUNCTION("CONCAT(LEFT(REGEXREPLACE(AX208, ""[^A-Za-z0-9]"", """"), 20), TEXT(ROW(AX208)-1, ""000""))"),"Everyonewantstodothe207")</f>
        <v>Everyonewantstodothe207</v>
      </c>
      <c r="T208" s="1" t="s">
        <v>970</v>
      </c>
      <c r="W208" s="1" t="s">
        <v>64</v>
      </c>
      <c r="AB208" s="1">
        <v>9781450380966</v>
      </c>
      <c r="AG208" s="1" t="s">
        <v>971</v>
      </c>
      <c r="AJ208" s="1" t="s">
        <v>972</v>
      </c>
      <c r="AN208" s="1">
        <v>15</v>
      </c>
      <c r="AT208" s="1" t="s">
        <v>518</v>
      </c>
      <c r="AV208" s="1" t="s">
        <v>973</v>
      </c>
      <c r="AX208" s="1" t="s">
        <v>974</v>
      </c>
      <c r="AZ208" s="2" t="s">
        <v>975</v>
      </c>
      <c r="BC208" s="1">
        <v>2021</v>
      </c>
    </row>
    <row r="209" spans="1:55" ht="13" x14ac:dyDescent="0.15">
      <c r="G209" s="1" t="s">
        <v>976</v>
      </c>
      <c r="M209" s="1" t="s">
        <v>977</v>
      </c>
      <c r="N209" s="1" t="str">
        <f ca="1">IFERROR(__xludf.DUMMYFUNCTION("CONCAT(LEFT(REGEXREPLACE(AX209, ""[^A-Za-z0-9]"", """"), 20), TEXT(ROW(AX209)-1, ""000""))"),"EvilModelHidingmalwa208")</f>
        <v>EvilModelHidingmalwa208</v>
      </c>
      <c r="T209" s="1" t="s">
        <v>978</v>
      </c>
      <c r="W209" s="1" t="s">
        <v>64</v>
      </c>
      <c r="AP209" s="1" t="s">
        <v>979</v>
      </c>
      <c r="AX209" s="1" t="s">
        <v>980</v>
      </c>
      <c r="AZ209" s="2" t="s">
        <v>981</v>
      </c>
      <c r="BC209" s="1">
        <v>2021</v>
      </c>
    </row>
    <row r="210" spans="1:55" ht="13" x14ac:dyDescent="0.15">
      <c r="G210" s="1" t="s">
        <v>982</v>
      </c>
      <c r="N210" s="1" t="str">
        <f ca="1">IFERROR(__xludf.DUMMYFUNCTION("CONCAT(LEFT(REGEXREPLACE(AX210, ""[^A-Za-z0-9]"", """"), 20), TEXT(ROW(AX210)-1, ""000""))"),"ExaminingProposedUse209")</f>
        <v>ExaminingProposedUse209</v>
      </c>
      <c r="W210" s="1" t="s">
        <v>57</v>
      </c>
      <c r="AX210" s="1" t="s">
        <v>983</v>
      </c>
      <c r="AZ210" s="2" t="s">
        <v>984</v>
      </c>
      <c r="BC210" s="1">
        <v>2025</v>
      </c>
    </row>
    <row r="211" spans="1:55" ht="13" x14ac:dyDescent="0.15">
      <c r="G211" s="1" t="s">
        <v>985</v>
      </c>
      <c r="N211" s="1" t="str">
        <f ca="1">IFERROR(__xludf.DUMMYFUNCTION("CONCAT(LEFT(REGEXREPLACE(AX211, ""[^A-Za-z0-9]"", """"), 20), TEXT(ROW(AX211)-1, ""000""))"),"ExclusiveTheMostcite210")</f>
        <v>ExclusiveTheMostcite210</v>
      </c>
      <c r="W211" s="1" t="s">
        <v>57</v>
      </c>
      <c r="AF211" s="1" t="s">
        <v>270</v>
      </c>
      <c r="AM211" s="1">
        <v>8059</v>
      </c>
      <c r="AP211" s="1" t="s">
        <v>986</v>
      </c>
      <c r="AX211" s="1" t="s">
        <v>987</v>
      </c>
      <c r="AZ211" s="2" t="s">
        <v>988</v>
      </c>
      <c r="BB211" s="1">
        <v>640</v>
      </c>
      <c r="BC211" s="1">
        <v>2025</v>
      </c>
    </row>
    <row r="212" spans="1:55" ht="13" x14ac:dyDescent="0.15">
      <c r="G212" s="1" t="s">
        <v>989</v>
      </c>
      <c r="N212" s="1" t="str">
        <f ca="1">IFERROR(__xludf.DUMMYFUNCTION("CONCAT(LEFT(REGEXREPLACE(AX212, ""[^A-Za-z0-9]"", """"), 20), TEXT(ROW(AX212)-1, ""000""))"),"Existentialrisknarra211")</f>
        <v>Existentialrisknarra211</v>
      </c>
      <c r="W212" s="1" t="s">
        <v>57</v>
      </c>
      <c r="AF212" s="1" t="s">
        <v>615</v>
      </c>
      <c r="AM212" s="1">
        <v>16</v>
      </c>
      <c r="AP212" s="1" t="s">
        <v>990</v>
      </c>
      <c r="AT212" s="1" t="s">
        <v>991</v>
      </c>
      <c r="AX212" s="1" t="s">
        <v>992</v>
      </c>
      <c r="AZ212" s="2" t="s">
        <v>993</v>
      </c>
      <c r="BB212" s="1">
        <v>122</v>
      </c>
      <c r="BC212" s="1">
        <v>2025</v>
      </c>
    </row>
    <row r="213" spans="1:55" ht="13" x14ac:dyDescent="0.15">
      <c r="G213" s="1" t="s">
        <v>994</v>
      </c>
      <c r="N213" s="1" t="str">
        <f ca="1">IFERROR(__xludf.DUMMYFUNCTION("CONCAT(LEFT(REGEXREPLACE(AX213, ""[^A-Za-z0-9]"", """"), 20), TEXT(ROW(AX213)-1, ""000""))"),"ExplainableAIinCredi212")</f>
        <v>ExplainableAIinCredi212</v>
      </c>
      <c r="W213" s="1" t="s">
        <v>57</v>
      </c>
      <c r="AF213" s="1" t="s">
        <v>995</v>
      </c>
      <c r="AL213" s="1" t="s">
        <v>996</v>
      </c>
      <c r="AX213" s="1" t="s">
        <v>997</v>
      </c>
      <c r="BC213" s="1">
        <v>2019</v>
      </c>
    </row>
    <row r="214" spans="1:55" ht="13" x14ac:dyDescent="0.15">
      <c r="G214" s="1" t="s">
        <v>998</v>
      </c>
      <c r="N214" s="1" t="str">
        <f ca="1">IFERROR(__xludf.DUMMYFUNCTION("CONCAT(LEFT(REGEXREPLACE(AX214, ""[^A-Za-z0-9]"", """"), 20), TEXT(ROW(AX214)-1, ""000""))"),"ExplainableNeuralNet213")</f>
        <v>ExplainableNeuralNet213</v>
      </c>
      <c r="W214" s="1" t="s">
        <v>57</v>
      </c>
      <c r="AF214" s="1" t="s">
        <v>999</v>
      </c>
      <c r="AL214" s="1" t="s">
        <v>1000</v>
      </c>
      <c r="AX214" s="1" t="s">
        <v>1001</v>
      </c>
      <c r="BC214" s="1">
        <v>2018</v>
      </c>
    </row>
    <row r="215" spans="1:55" ht="13" x14ac:dyDescent="0.15">
      <c r="G215" s="1" t="s">
        <v>1002</v>
      </c>
      <c r="N215" s="1" t="str">
        <f ca="1">IFERROR(__xludf.DUMMYFUNCTION("CONCAT(LEFT(REGEXREPLACE(AX215, ""[^A-Za-z0-9]"", """"), 20), TEXT(ROW(AX215)-1, ""000""))"),"ExplainingExplanatio214")</f>
        <v>ExplainingExplanatio214</v>
      </c>
      <c r="W215" s="1" t="s">
        <v>57</v>
      </c>
      <c r="AF215" s="1" t="s">
        <v>1003</v>
      </c>
      <c r="AX215" s="1" t="s">
        <v>1004</v>
      </c>
      <c r="AZ215" s="2" t="s">
        <v>1005</v>
      </c>
      <c r="BC215" s="1">
        <v>2018</v>
      </c>
    </row>
    <row r="216" spans="1:55" ht="13" x14ac:dyDescent="0.15">
      <c r="G216" s="1" t="s">
        <v>1006</v>
      </c>
      <c r="M216" s="1" t="s">
        <v>1007</v>
      </c>
      <c r="N216" s="1" t="str">
        <f ca="1">IFERROR(__xludf.DUMMYFUNCTION("CONCAT(LEFT(REGEXREPLACE(AX216, ""[^A-Za-z0-9]"", """"), 20), TEXT(ROW(AX216)-1, ""000""))"),"ExplainingMachineLea215")</f>
        <v>ExplainingMachineLea215</v>
      </c>
      <c r="W216" s="1" t="s">
        <v>64</v>
      </c>
      <c r="AL216" s="1" t="s">
        <v>1008</v>
      </c>
      <c r="AP216" s="1" t="s">
        <v>1009</v>
      </c>
      <c r="AX216" s="1" t="s">
        <v>1010</v>
      </c>
      <c r="BC216" s="1">
        <v>2020</v>
      </c>
    </row>
    <row r="217" spans="1:55" ht="13" x14ac:dyDescent="0.15">
      <c r="G217" s="1" t="s">
        <v>1011</v>
      </c>
      <c r="N217" s="1" t="str">
        <f ca="1">IFERROR(__xludf.DUMMYFUNCTION("CONCAT(LEFT(REGEXREPLACE(AX217, ""[^A-Za-z0-9]"", """"), 20), TEXT(ROW(AX217)-1, ""000""))"),"ExplainingMachineLea216")</f>
        <v>ExplainingMachineLea216</v>
      </c>
      <c r="W217" s="1" t="s">
        <v>86</v>
      </c>
      <c r="AL217" s="1" t="s">
        <v>1012</v>
      </c>
      <c r="AT217" s="1" t="s">
        <v>1013</v>
      </c>
      <c r="AX217" s="1" t="s">
        <v>1014</v>
      </c>
      <c r="BC217" s="1">
        <v>2020</v>
      </c>
    </row>
    <row r="218" spans="1:55" ht="13" x14ac:dyDescent="0.15">
      <c r="A218" s="1" t="s">
        <v>1015</v>
      </c>
      <c r="G218" s="1" t="s">
        <v>1016</v>
      </c>
      <c r="N218" s="1" t="str">
        <f ca="1">IFERROR(__xludf.DUMMYFUNCTION("CONCAT(LEFT(REGEXREPLACE(AX218, ""[^A-Za-z0-9]"", """"), 20), TEXT(ROW(AX218)-1, ""000""))"),"Exploringpublicconce217")</f>
        <v>Exploringpublicconce217</v>
      </c>
      <c r="T218" s="1" t="s">
        <v>1017</v>
      </c>
      <c r="W218" s="1" t="s">
        <v>57</v>
      </c>
      <c r="AC218" s="1" t="s">
        <v>1018</v>
      </c>
      <c r="AF218" s="1" t="s">
        <v>1019</v>
      </c>
      <c r="AK218" s="1" t="s">
        <v>609</v>
      </c>
      <c r="AM218" s="1">
        <v>4</v>
      </c>
      <c r="AP218" s="1" t="s">
        <v>1020</v>
      </c>
      <c r="AQ218" s="1" t="s">
        <v>1021</v>
      </c>
      <c r="AR218" s="1">
        <v>34926998</v>
      </c>
      <c r="AW218" s="1" t="s">
        <v>1022</v>
      </c>
      <c r="AX218" s="1" t="s">
        <v>1023</v>
      </c>
      <c r="AZ218" s="2" t="s">
        <v>1024</v>
      </c>
      <c r="BA218" s="3">
        <v>45796</v>
      </c>
      <c r="BB218" s="1">
        <v>4</v>
      </c>
      <c r="BC218" s="1">
        <v>2021</v>
      </c>
    </row>
    <row r="219" spans="1:55" ht="13" x14ac:dyDescent="0.15">
      <c r="G219" s="1" t="s">
        <v>1025</v>
      </c>
      <c r="N219" s="1" t="str">
        <f ca="1">IFERROR(__xludf.DUMMYFUNCTION("CONCAT(LEFT(REGEXREPLACE(AX219, ""[^A-Za-z0-9]"", """"), 20), TEXT(ROW(AX219)-1, ""000""))"),"ExploringtheLimitsof218")</f>
        <v>ExploringtheLimitsof218</v>
      </c>
      <c r="W219" s="1" t="s">
        <v>57</v>
      </c>
      <c r="AF219" s="1" t="s">
        <v>310</v>
      </c>
      <c r="AM219" s="1">
        <v>140</v>
      </c>
      <c r="AP219" s="1" t="s">
        <v>1026</v>
      </c>
      <c r="AX219" s="1" t="s">
        <v>1027</v>
      </c>
      <c r="AZ219" s="2" t="s">
        <v>1028</v>
      </c>
      <c r="BB219" s="1">
        <v>21</v>
      </c>
      <c r="BC219" s="1">
        <v>2020</v>
      </c>
    </row>
    <row r="220" spans="1:55" ht="13" x14ac:dyDescent="0.15">
      <c r="G220" s="1" t="s">
        <v>1029</v>
      </c>
      <c r="M220" s="1" t="s">
        <v>1030</v>
      </c>
      <c r="N220" s="1" t="str">
        <f ca="1">IFERROR(__xludf.DUMMYFUNCTION("CONCAT(LEFT(REGEXREPLACE(AX220, ""[^A-Za-z0-9]"", """"), 20), TEXT(ROW(AX220)-1, ""000""))"),"Extractingtrainingda219")</f>
        <v>Extractingtrainingda219</v>
      </c>
      <c r="W220" s="1" t="s">
        <v>64</v>
      </c>
      <c r="AX220" s="1" t="s">
        <v>1031</v>
      </c>
      <c r="AZ220" s="2" t="s">
        <v>1032</v>
      </c>
      <c r="BC220" s="1">
        <v>2021</v>
      </c>
    </row>
    <row r="221" spans="1:55" ht="13" x14ac:dyDescent="0.15">
      <c r="G221" s="1" t="s">
        <v>1033</v>
      </c>
      <c r="N221" s="1" t="str">
        <f ca="1">IFERROR(__xludf.DUMMYFUNCTION("CONCAT(LEFT(REGEXREPLACE(AX221, ""[^A-Za-z0-9]"", """"), 20), TEXT(ROW(AX221)-1, ""000""))"),"ExtractingTreeStruct220")</f>
        <v>ExtractingTreeStruct220</v>
      </c>
      <c r="W221" s="1" t="s">
        <v>57</v>
      </c>
      <c r="AF221" s="1" t="s">
        <v>447</v>
      </c>
      <c r="AX221" s="1" t="s">
        <v>1034</v>
      </c>
      <c r="AZ221" s="2" t="s">
        <v>1035</v>
      </c>
      <c r="BC221" s="1">
        <v>1996</v>
      </c>
    </row>
    <row r="222" spans="1:55" ht="13" x14ac:dyDescent="0.15">
      <c r="G222" s="1" t="s">
        <v>1036</v>
      </c>
      <c r="N222" s="1" t="str">
        <f ca="1">IFERROR(__xludf.DUMMYFUNCTION("CONCAT(LEFT(REGEXREPLACE(AX222, ""[^A-Za-z0-9]"", """"), 20), TEXT(ROW(AX222)-1, ""000""))"),"FAccT23KeynoteThickA221")</f>
        <v>FAccT23KeynoteThickA221</v>
      </c>
      <c r="W222" s="1" t="s">
        <v>86</v>
      </c>
      <c r="Z222" s="1" t="s">
        <v>1037</v>
      </c>
      <c r="AX222" s="1" t="s">
        <v>1038</v>
      </c>
      <c r="BC222" s="1">
        <v>2023</v>
      </c>
    </row>
    <row r="223" spans="1:55" ht="13" x14ac:dyDescent="0.15">
      <c r="G223" s="1" t="s">
        <v>1039</v>
      </c>
      <c r="N223" s="1" t="str">
        <f ca="1">IFERROR(__xludf.DUMMYFUNCTION("CONCAT(LEFT(REGEXREPLACE(AX223, ""[^A-Za-z0-9]"", """"), 20), TEXT(ROW(AX223)-1, ""000""))"),"Facerecognitionvendo222")</f>
        <v>Facerecognitionvendo222</v>
      </c>
      <c r="W223" s="1" t="s">
        <v>57</v>
      </c>
      <c r="AF223" s="1" t="s">
        <v>1040</v>
      </c>
      <c r="AM223" s="1">
        <v>6965</v>
      </c>
      <c r="AX223" s="1" t="s">
        <v>1041</v>
      </c>
      <c r="AZ223" t="s">
        <v>2708</v>
      </c>
      <c r="BC223" s="1">
        <v>2003</v>
      </c>
    </row>
    <row r="224" spans="1:55" ht="13" x14ac:dyDescent="0.15">
      <c r="G224" s="1" t="s">
        <v>1042</v>
      </c>
      <c r="M224" s="1" t="s">
        <v>1043</v>
      </c>
      <c r="N224" s="1" t="str">
        <f ca="1">IFERROR(__xludf.DUMMYFUNCTION("CONCAT(LEFT(REGEXREPLACE(AX224, ""[^A-Za-z0-9]"", """"), 20), TEXT(ROW(AX224)-1, ""000""))"),"Facerecognitiontoobi223")</f>
        <v>Facerecognitiontoobi223</v>
      </c>
      <c r="W224" s="1" t="s">
        <v>64</v>
      </c>
      <c r="AX224" s="1" t="s">
        <v>1044</v>
      </c>
      <c r="AZ224" t="s">
        <v>2768</v>
      </c>
      <c r="BC224" s="1">
        <v>2020</v>
      </c>
    </row>
    <row r="225" spans="7:55" ht="13" x14ac:dyDescent="0.15">
      <c r="G225" s="1" t="s">
        <v>1045</v>
      </c>
      <c r="N225" s="1" t="str">
        <f ca="1">IFERROR(__xludf.DUMMYFUNCTION("CONCAT(LEFT(REGEXREPLACE(AX225, ""[^A-Za-z0-9]"", """"), 20), TEXT(ROW(AX225)-1, ""000""))"),"FacebooksFivePillars224")</f>
        <v>FacebooksFivePillars224</v>
      </c>
      <c r="W225" s="1" t="s">
        <v>86</v>
      </c>
      <c r="Z225" s="1" t="s">
        <v>1046</v>
      </c>
      <c r="AX225" s="1" t="s">
        <v>1047</v>
      </c>
      <c r="BC225" s="1">
        <v>2021</v>
      </c>
    </row>
    <row r="226" spans="7:55" ht="13" x14ac:dyDescent="0.15">
      <c r="G226" s="1" t="s">
        <v>1048</v>
      </c>
      <c r="M226" s="1" t="s">
        <v>738</v>
      </c>
      <c r="N226" s="1" t="str">
        <f ca="1">IFERROR(__xludf.DUMMYFUNCTION("CONCAT(LEFT(REGEXREPLACE(AX226, ""[^A-Za-z0-9]"", """"), 20), TEXT(ROW(AX226)-1, ""000""))"),"Factualityoflargelan225")</f>
        <v>Factualityoflargelan225</v>
      </c>
      <c r="W226" s="1" t="s">
        <v>108</v>
      </c>
      <c r="AL226" s="1" t="s">
        <v>1049</v>
      </c>
      <c r="AX226" s="1" t="s">
        <v>1050</v>
      </c>
      <c r="AZ226" t="s">
        <v>2769</v>
      </c>
      <c r="BC226" s="1">
        <v>2024</v>
      </c>
    </row>
    <row r="227" spans="7:55" ht="13" x14ac:dyDescent="0.15">
      <c r="G227" s="1" t="s">
        <v>1051</v>
      </c>
      <c r="M227" s="1" t="s">
        <v>1052</v>
      </c>
      <c r="N227" s="1" t="str">
        <f ca="1">IFERROR(__xludf.DUMMYFUNCTION("CONCAT(LEFT(REGEXREPLACE(AX227, ""[^A-Za-z0-9]"", """"), 20), TEXT(ROW(AX227)-1, ""000""))"),"FairAdversarialGradi226")</f>
        <v>FairAdversarialGradi226</v>
      </c>
      <c r="W227" s="1" t="s">
        <v>64</v>
      </c>
      <c r="AO227" s="1" t="s">
        <v>750</v>
      </c>
      <c r="AP227" s="1" t="s">
        <v>1053</v>
      </c>
      <c r="AX227" s="1" t="s">
        <v>1054</v>
      </c>
      <c r="AZ227" s="2" t="s">
        <v>1055</v>
      </c>
      <c r="BC227" s="1">
        <v>2019</v>
      </c>
    </row>
    <row r="228" spans="7:55" ht="13" x14ac:dyDescent="0.15">
      <c r="G228" s="1" t="s">
        <v>1056</v>
      </c>
      <c r="N228" s="1" t="str">
        <f ca="1">IFERROR(__xludf.DUMMYFUNCTION("CONCAT(LEFT(REGEXREPLACE(AX228, ""[^A-Za-z0-9]"", """"), 20), TEXT(ROW(AX228)-1, ""000""))"),"FairAttributionofFun227")</f>
        <v>FairAttributionofFun227</v>
      </c>
      <c r="W228" s="1" t="s">
        <v>57</v>
      </c>
      <c r="AF228" s="1" t="s">
        <v>1057</v>
      </c>
      <c r="AL228" s="1" t="s">
        <v>1058</v>
      </c>
      <c r="AM228" s="1">
        <v>9</v>
      </c>
      <c r="AP228" s="1" t="s">
        <v>1059</v>
      </c>
      <c r="AT228" s="1" t="s">
        <v>1060</v>
      </c>
      <c r="AX228" s="1" t="s">
        <v>1061</v>
      </c>
      <c r="BB228" s="1">
        <v>16</v>
      </c>
      <c r="BC228" s="1">
        <v>2004</v>
      </c>
    </row>
    <row r="229" spans="7:55" ht="13" x14ac:dyDescent="0.15">
      <c r="G229" s="1" t="s">
        <v>1062</v>
      </c>
      <c r="M229" s="1" t="s">
        <v>63</v>
      </c>
      <c r="N229" s="1" t="str">
        <f ca="1">IFERROR(__xludf.DUMMYFUNCTION("CONCAT(LEFT(REGEXREPLACE(AX229, ""[^A-Za-z0-9]"", """"), 20), TEXT(ROW(AX229)-1, ""000""))"),"Fairnessandabstracti228")</f>
        <v>Fairnessandabstracti228</v>
      </c>
      <c r="T229" s="1" t="s">
        <v>1063</v>
      </c>
      <c r="W229" s="1" t="s">
        <v>64</v>
      </c>
      <c r="AP229" s="1" t="s">
        <v>1064</v>
      </c>
      <c r="AX229" s="1" t="s">
        <v>1065</v>
      </c>
      <c r="AZ229" s="2" t="s">
        <v>1066</v>
      </c>
      <c r="BC229" s="1">
        <v>2019</v>
      </c>
    </row>
    <row r="230" spans="7:55" ht="13" x14ac:dyDescent="0.15">
      <c r="G230" s="1" t="s">
        <v>1067</v>
      </c>
      <c r="M230" s="1" t="s">
        <v>1068</v>
      </c>
      <c r="N230" s="1" t="str">
        <f ca="1">IFERROR(__xludf.DUMMYFUNCTION("CONCAT(LEFT(REGEXREPLACE(AX230, ""[^A-Za-z0-9]"", """"), 20), TEXT(ROW(AX230)-1, ""000""))"),"FairnessandDiscrimin229")</f>
        <v>FairnessandDiscrimin229</v>
      </c>
      <c r="W230" s="1" t="s">
        <v>64</v>
      </c>
      <c r="AP230" s="1" t="s">
        <v>1069</v>
      </c>
      <c r="AX230" s="1" t="s">
        <v>1070</v>
      </c>
      <c r="AZ230" t="s">
        <v>2709</v>
      </c>
      <c r="BC230" s="1">
        <v>2019</v>
      </c>
    </row>
    <row r="231" spans="7:55" ht="13" x14ac:dyDescent="0.15">
      <c r="G231" s="1" t="s">
        <v>1071</v>
      </c>
      <c r="N231" s="1" t="str">
        <f ca="1">IFERROR(__xludf.DUMMYFUNCTION("CONCAT(LEFT(REGEXREPLACE(AX231, ""[^A-Za-z0-9]"", """"), 20), TEXT(ROW(AX231)-1, ""000""))"),"FairnessandMachineLe230")</f>
        <v>FairnessandMachineLe230</v>
      </c>
      <c r="W231" s="1" t="s">
        <v>69</v>
      </c>
      <c r="AL231" s="1" t="s">
        <v>1072</v>
      </c>
      <c r="AT231" s="2" t="s">
        <v>1073</v>
      </c>
      <c r="AX231" s="1" t="s">
        <v>1074</v>
      </c>
      <c r="BC231" s="1">
        <v>2019</v>
      </c>
    </row>
    <row r="232" spans="7:55" ht="13" x14ac:dyDescent="0.15">
      <c r="G232" s="1" t="s">
        <v>1075</v>
      </c>
      <c r="M232" s="1" t="s">
        <v>1076</v>
      </c>
      <c r="N232" s="1" t="str">
        <f ca="1">IFERROR(__xludf.DUMMYFUNCTION("CONCAT(LEFT(REGEXREPLACE(AX232, ""[^A-Za-z0-9]"", """"), 20), TEXT(ROW(AX232)-1, ""000""))"),"FairnessBeyondDispar231")</f>
        <v>FairnessBeyondDispar231</v>
      </c>
      <c r="W232" s="1" t="s">
        <v>64</v>
      </c>
      <c r="AL232" s="1" t="s">
        <v>1077</v>
      </c>
      <c r="AO232" s="1" t="s">
        <v>1078</v>
      </c>
      <c r="AP232" s="1" t="s">
        <v>1079</v>
      </c>
      <c r="AX232" s="1" t="s">
        <v>1080</v>
      </c>
      <c r="BC232" s="1">
        <v>2017</v>
      </c>
    </row>
    <row r="233" spans="7:55" ht="13" x14ac:dyDescent="0.15">
      <c r="G233" s="1" t="s">
        <v>1081</v>
      </c>
      <c r="N233" s="1" t="str">
        <f ca="1">IFERROR(__xludf.DUMMYFUNCTION("CONCAT(LEFT(REGEXREPLACE(AX233, ""[^A-Za-z0-9]"", """"), 20), TEXT(ROW(AX233)-1, ""000""))"),"FairnessinInformatio232")</f>
        <v>FairnessinInformatio232</v>
      </c>
      <c r="W233" s="1" t="s">
        <v>57</v>
      </c>
      <c r="AF233" s="1" t="s">
        <v>1082</v>
      </c>
      <c r="AM233" s="9">
        <v>46024</v>
      </c>
      <c r="AP233" s="1" t="s">
        <v>1083</v>
      </c>
      <c r="AT233" s="1" t="s">
        <v>1084</v>
      </c>
      <c r="AX233" s="1" t="s">
        <v>1085</v>
      </c>
      <c r="AZ233" t="s">
        <v>2710</v>
      </c>
      <c r="BB233" s="1">
        <v>16</v>
      </c>
      <c r="BC233" s="1">
        <v>2022</v>
      </c>
    </row>
    <row r="234" spans="7:55" ht="13" x14ac:dyDescent="0.15">
      <c r="G234" s="1" t="s">
        <v>1086</v>
      </c>
      <c r="M234" s="1" t="s">
        <v>1087</v>
      </c>
      <c r="N234" s="1" t="str">
        <f ca="1">IFERROR(__xludf.DUMMYFUNCTION("CONCAT(LEFT(REGEXREPLACE(AX234, ""[^A-Za-z0-9]"", """"), 20), TEXT(ROW(AX234)-1, ""000""))"),"FairnessThroughAware233")</f>
        <v>FairnessThroughAware233</v>
      </c>
      <c r="W234" s="1" t="s">
        <v>64</v>
      </c>
      <c r="AO234" s="1" t="s">
        <v>79</v>
      </c>
      <c r="AP234" s="1" t="s">
        <v>1088</v>
      </c>
      <c r="AX234" s="1" t="s">
        <v>1089</v>
      </c>
      <c r="AZ234" s="2" t="s">
        <v>1090</v>
      </c>
      <c r="BC234" s="1">
        <v>2012</v>
      </c>
    </row>
    <row r="235" spans="7:55" ht="13" x14ac:dyDescent="0.15">
      <c r="G235" s="1" t="s">
        <v>1091</v>
      </c>
      <c r="M235" s="1" t="s">
        <v>1092</v>
      </c>
      <c r="N235" s="1" t="str">
        <f ca="1">IFERROR(__xludf.DUMMYFUNCTION("CONCAT(LEFT(REGEXREPLACE(AX235, ""[^A-Za-z0-9]"", """"), 20), TEXT(ROW(AX235)-1, ""000""))"),"Fairwashingtheriskof234")</f>
        <v>Fairwashingtheriskof234</v>
      </c>
      <c r="T235" s="1" t="s">
        <v>1093</v>
      </c>
      <c r="W235" s="1" t="s">
        <v>64</v>
      </c>
      <c r="AP235" s="1" t="s">
        <v>1094</v>
      </c>
      <c r="AX235" s="1" t="s">
        <v>1095</v>
      </c>
      <c r="AZ235" s="2" t="s">
        <v>1096</v>
      </c>
      <c r="BC235" s="1">
        <v>2019</v>
      </c>
    </row>
    <row r="236" spans="7:55" ht="13" x14ac:dyDescent="0.15">
      <c r="G236" s="1" t="s">
        <v>1097</v>
      </c>
      <c r="N236" s="1" t="str">
        <f ca="1">IFERROR(__xludf.DUMMYFUNCTION("CONCAT(LEFT(REGEXREPLACE(AX236, ""[^A-Za-z0-9]"", """"), 20), TEXT(ROW(AX236)-1, ""000""))"),"FairxgboostFairnessa235")</f>
        <v>FairxgboostFairnessa235</v>
      </c>
      <c r="W236" s="1" t="s">
        <v>57</v>
      </c>
      <c r="AF236" s="1" t="s">
        <v>1098</v>
      </c>
      <c r="AX236" s="1" t="s">
        <v>1099</v>
      </c>
      <c r="AZ236" s="2" t="s">
        <v>1100</v>
      </c>
      <c r="BC236" s="1">
        <v>2020</v>
      </c>
    </row>
    <row r="237" spans="7:55" ht="13" x14ac:dyDescent="0.15">
      <c r="G237" s="1" t="s">
        <v>1101</v>
      </c>
      <c r="N237" s="1" t="str">
        <f ca="1">IFERROR(__xludf.DUMMYFUNCTION("CONCAT(LEFT(REGEXREPLACE(AX237, ""[^A-Za-z0-9]"", """"), 20), TEXT(ROW(AX237)-1, ""000""))"),"FalsePositivesFalseN236")</f>
        <v>FalsePositivesFalseN236</v>
      </c>
      <c r="W237" s="1" t="s">
        <v>57</v>
      </c>
      <c r="AF237" s="1" t="s">
        <v>1102</v>
      </c>
      <c r="AL237" s="1" t="s">
        <v>1103</v>
      </c>
      <c r="AP237" s="1">
        <v>38</v>
      </c>
      <c r="AT237" s="1" t="s">
        <v>676</v>
      </c>
      <c r="AX237" s="1" t="s">
        <v>1104</v>
      </c>
      <c r="BB237" s="1">
        <v>80</v>
      </c>
      <c r="BC237" s="1">
        <v>2016</v>
      </c>
    </row>
    <row r="238" spans="7:55" ht="13" x14ac:dyDescent="0.15">
      <c r="G238" s="1" t="s">
        <v>1105</v>
      </c>
      <c r="L238" s="2" t="s">
        <v>769</v>
      </c>
      <c r="N238" s="1" t="str">
        <f ca="1">IFERROR(__xludf.DUMMYFUNCTION("CONCAT(LEFT(REGEXREPLACE(AX238, ""[^A-Za-z0-9]"", """"), 20), TEXT(ROW(AX238)-1, ""000""))"),"FastScalableRwithH2O237")</f>
        <v>FastScalableRwithH2O237</v>
      </c>
      <c r="W238" s="1" t="s">
        <v>770</v>
      </c>
      <c r="AK238" s="1" t="s">
        <v>527</v>
      </c>
      <c r="AX238" s="1" t="s">
        <v>1106</v>
      </c>
      <c r="AZ238" s="2" t="s">
        <v>769</v>
      </c>
      <c r="BC238" s="1">
        <v>2015</v>
      </c>
    </row>
    <row r="239" spans="7:55" ht="13" x14ac:dyDescent="0.15">
      <c r="G239" s="1" t="s">
        <v>1107</v>
      </c>
      <c r="N239" s="1" t="str">
        <f ca="1">IFERROR(__xludf.DUMMYFUNCTION("CONCAT(LEFT(REGEXREPLACE(AX239, ""[^A-Za-z0-9]"", """"), 20), TEXT(ROW(AX239)-1, ""000""))"),"FastTreeAggregationf238")</f>
        <v>FastTreeAggregationf238</v>
      </c>
      <c r="W239" s="1" t="s">
        <v>57</v>
      </c>
      <c r="AF239" s="1" t="s">
        <v>1108</v>
      </c>
      <c r="AM239" s="1">
        <v>1</v>
      </c>
      <c r="AP239" s="1">
        <v>120</v>
      </c>
      <c r="AT239" s="1" t="s">
        <v>193</v>
      </c>
      <c r="AX239" s="1" t="s">
        <v>1109</v>
      </c>
      <c r="AZ239" s="2" t="s">
        <v>1110</v>
      </c>
      <c r="BB239" s="1">
        <v>21</v>
      </c>
      <c r="BC239" s="1">
        <v>2020</v>
      </c>
    </row>
    <row r="240" spans="7:55" ht="13" x14ac:dyDescent="0.15">
      <c r="G240" s="1" t="s">
        <v>1111</v>
      </c>
      <c r="N240" s="1" t="str">
        <f ca="1">IFERROR(__xludf.DUMMYFUNCTION("CONCAT(LEFT(REGEXREPLACE(AX240, ""[^A-Za-z0-9]"", """"), 20), TEXT(ROW(AX240)-1, ""000""))"),"FastUnfoldingofCommu239")</f>
        <v>FastUnfoldingofCommu239</v>
      </c>
      <c r="W240" s="1" t="s">
        <v>57</v>
      </c>
      <c r="AF240" s="1" t="s">
        <v>1112</v>
      </c>
      <c r="AM240" s="1">
        <v>10</v>
      </c>
      <c r="AP240" s="1" t="s">
        <v>1113</v>
      </c>
      <c r="AT240" s="1" t="s">
        <v>1114</v>
      </c>
      <c r="AX240" s="1" t="s">
        <v>1115</v>
      </c>
      <c r="AZ240" s="2" t="s">
        <v>1116</v>
      </c>
      <c r="BB240" s="1">
        <v>2008</v>
      </c>
      <c r="BC240" s="1">
        <v>2008</v>
      </c>
    </row>
    <row r="241" spans="5:55" ht="13" x14ac:dyDescent="0.15">
      <c r="G241" s="1" t="s">
        <v>1117</v>
      </c>
      <c r="M241" s="1" t="s">
        <v>1118</v>
      </c>
      <c r="N241" s="1" t="str">
        <f ca="1">IFERROR(__xludf.DUMMYFUNCTION("CONCAT(LEFT(REGEXREPLACE(AX241, ""[^A-Za-z0-9]"", """"), 20), TEXT(ROW(AX241)-1, ""000""))"),"FeatureRelevanceQuan240")</f>
        <v>FeatureRelevanceQuan240</v>
      </c>
      <c r="W241" s="1" t="s">
        <v>64</v>
      </c>
      <c r="AL241" s="1" t="s">
        <v>1119</v>
      </c>
      <c r="AO241" s="1" t="s">
        <v>1120</v>
      </c>
      <c r="AP241" s="1" t="s">
        <v>1121</v>
      </c>
      <c r="AX241" s="1" t="s">
        <v>1122</v>
      </c>
      <c r="BC241" s="1">
        <v>2020</v>
      </c>
    </row>
    <row r="242" spans="5:55" ht="13" x14ac:dyDescent="0.15">
      <c r="G242" s="1" t="s">
        <v>1123</v>
      </c>
      <c r="N242" s="1" t="str">
        <f ca="1">IFERROR(__xludf.DUMMYFUNCTION("CONCAT(LEFT(REGEXREPLACE(AX242, ""[^A-Za-z0-9]"", """"), 20), TEXT(ROW(AX242)-1, ""000""))"),"FelmBenchmarkingfact241")</f>
        <v>FelmBenchmarkingfact241</v>
      </c>
      <c r="W242" s="1" t="s">
        <v>57</v>
      </c>
      <c r="AF242" s="1" t="s">
        <v>447</v>
      </c>
      <c r="AP242" s="1" t="s">
        <v>1124</v>
      </c>
      <c r="AX242" s="1" t="s">
        <v>1125</v>
      </c>
      <c r="AZ242" t="s">
        <v>2770</v>
      </c>
      <c r="BB242" s="1">
        <v>36</v>
      </c>
      <c r="BC242" s="1">
        <v>2023</v>
      </c>
    </row>
    <row r="243" spans="5:55" ht="13" x14ac:dyDescent="0.15">
      <c r="G243" s="1" t="s">
        <v>1126</v>
      </c>
      <c r="N243" s="1" t="str">
        <f ca="1">IFERROR(__xludf.DUMMYFUNCTION("CONCAT(LEFT(REGEXREPLACE(AX243, ""[^A-Za-z0-9]"", """"), 20), TEXT(ROW(AX243)-1, ""000""))"),"Finetuningandprompto242")</f>
        <v>Finetuningandprompto242</v>
      </c>
      <c r="W243" s="1" t="s">
        <v>57</v>
      </c>
      <c r="AF243" s="1" t="s">
        <v>1127</v>
      </c>
      <c r="AX243" s="1" t="s">
        <v>1128</v>
      </c>
      <c r="AZ243" s="2" t="s">
        <v>1129</v>
      </c>
      <c r="BC243" s="1">
        <v>2024</v>
      </c>
    </row>
    <row r="244" spans="5:55" ht="13" x14ac:dyDescent="0.15">
      <c r="G244" s="1" t="s">
        <v>1130</v>
      </c>
      <c r="N244" s="1" t="str">
        <f ca="1">IFERROR(__xludf.DUMMYFUNCTION("CONCAT(LEFT(REGEXREPLACE(AX244, ""[^A-Za-z0-9]"", """"), 20), TEXT(ROW(AX244)-1, ""000""))"),"FiveThingsLawyersSho243")</f>
        <v>FiveThingsLawyersSho243</v>
      </c>
      <c r="W244" s="1" t="s">
        <v>86</v>
      </c>
      <c r="AL244" s="1" t="s">
        <v>1131</v>
      </c>
      <c r="AT244" s="1" t="s">
        <v>1132</v>
      </c>
      <c r="AX244" s="1" t="s">
        <v>1133</v>
      </c>
      <c r="BC244" s="1">
        <v>2021</v>
      </c>
    </row>
    <row r="245" spans="5:55" ht="13" x14ac:dyDescent="0.15">
      <c r="G245" s="1" t="s">
        <v>1134</v>
      </c>
      <c r="N245" s="1" t="str">
        <f ca="1">IFERROR(__xludf.DUMMYFUNCTION("CONCAT(LEFT(REGEXREPLACE(AX245, ""[^A-Za-z0-9]"", """"), 20), TEXT(ROW(AX245)-1, ""000""))"),"FoolboxAPythonToolbo244")</f>
        <v>FoolboxAPythonToolbo244</v>
      </c>
      <c r="W245" s="1" t="s">
        <v>57</v>
      </c>
      <c r="AF245" s="1" t="s">
        <v>1135</v>
      </c>
      <c r="AL245" s="1" t="s">
        <v>1136</v>
      </c>
      <c r="AX245" s="1" t="s">
        <v>1137</v>
      </c>
      <c r="BC245" s="1">
        <v>2017</v>
      </c>
    </row>
    <row r="246" spans="5:55" ht="13" x14ac:dyDescent="0.15">
      <c r="G246" s="1" t="s">
        <v>1138</v>
      </c>
      <c r="M246" s="1" t="s">
        <v>1139</v>
      </c>
      <c r="N246" s="1" t="str">
        <f ca="1">IFERROR(__xludf.DUMMYFUNCTION("CONCAT(LEFT(REGEXREPLACE(AX246, ""[^A-Za-z0-9]"", """"), 20), TEXT(ROW(AX246)-1, ""000""))"),"FoolingLIMEandSHAPAd245")</f>
        <v>FoolingLIMEandSHAPAd245</v>
      </c>
      <c r="T246" s="1" t="s">
        <v>1140</v>
      </c>
      <c r="W246" s="1" t="s">
        <v>64</v>
      </c>
      <c r="AP246" s="1" t="s">
        <v>1141</v>
      </c>
      <c r="AX246" s="1" t="s">
        <v>1142</v>
      </c>
      <c r="AZ246" s="2" t="s">
        <v>1143</v>
      </c>
      <c r="BC246" s="1">
        <v>2020</v>
      </c>
    </row>
    <row r="247" spans="5:55" ht="13" x14ac:dyDescent="0.15">
      <c r="G247" s="1" t="s">
        <v>1144</v>
      </c>
      <c r="M247" s="1" t="s">
        <v>1145</v>
      </c>
      <c r="N247" s="1" t="str">
        <f ca="1">IFERROR(__xludf.DUMMYFUNCTION("CONCAT(LEFT(REGEXREPLACE(AX247, ""[^A-Za-z0-9]"", """"), 20), TEXT(ROW(AX247)-1, ""000""))"),"Foolingpartialdepend246")</f>
        <v>Foolingpartialdepend246</v>
      </c>
      <c r="T247" s="1" t="s">
        <v>1146</v>
      </c>
      <c r="W247" s="1" t="s">
        <v>64</v>
      </c>
      <c r="AP247" s="1" t="s">
        <v>1147</v>
      </c>
      <c r="AX247" s="1" t="s">
        <v>1148</v>
      </c>
      <c r="AZ247" s="2" t="s">
        <v>1149</v>
      </c>
      <c r="BC247" s="1">
        <v>2022</v>
      </c>
    </row>
    <row r="248" spans="5:55" ht="13" x14ac:dyDescent="0.15">
      <c r="G248" s="1" t="s">
        <v>1150</v>
      </c>
      <c r="N248" s="1" t="str">
        <f ca="1">IFERROR(__xludf.DUMMYFUNCTION("CONCAT(LEFT(REGEXREPLACE(AX248, ""[^A-Za-z0-9]"", """"), 20), TEXT(ROW(AX248)-1, ""000""))"),"ForWhomtheBellTollsI247")</f>
        <v>ForWhomtheBellTollsI247</v>
      </c>
      <c r="T248" s="1" t="s">
        <v>1151</v>
      </c>
      <c r="W248" s="1" t="s">
        <v>57</v>
      </c>
      <c r="AC248" s="1" t="s">
        <v>1152</v>
      </c>
      <c r="AF248" s="1" t="s">
        <v>1153</v>
      </c>
      <c r="AG248" s="1" t="s">
        <v>1154</v>
      </c>
      <c r="AK248" s="1" t="s">
        <v>407</v>
      </c>
      <c r="AM248" s="1">
        <v>1</v>
      </c>
      <c r="AP248" s="1" t="s">
        <v>1155</v>
      </c>
      <c r="AX248" s="1" t="s">
        <v>1156</v>
      </c>
      <c r="BB248" s="1">
        <v>10</v>
      </c>
      <c r="BC248" s="1">
        <v>2016</v>
      </c>
    </row>
    <row r="249" spans="5:55" ht="13" x14ac:dyDescent="0.15">
      <c r="G249" s="1" t="s">
        <v>1157</v>
      </c>
      <c r="N249" s="1" t="str">
        <f ca="1">IFERROR(__xludf.DUMMYFUNCTION("CONCAT(LEFT(REGEXREPLACE(AX249, ""[^A-Za-z0-9]"", """"), 20), TEXT(ROW(AX249)-1, ""000""))"),"Frameworkprinciplesa248")</f>
        <v>Frameworkprinciplesa248</v>
      </c>
      <c r="T249" s="1" t="s">
        <v>1158</v>
      </c>
      <c r="W249" s="1" t="s">
        <v>57</v>
      </c>
      <c r="AF249" s="1" t="s">
        <v>1159</v>
      </c>
      <c r="AM249" s="1">
        <v>2</v>
      </c>
      <c r="AP249" s="1" t="s">
        <v>1160</v>
      </c>
      <c r="AX249" s="1" t="s">
        <v>1161</v>
      </c>
      <c r="BB249" s="1">
        <v>5</v>
      </c>
      <c r="BC249" s="1">
        <v>2019</v>
      </c>
    </row>
    <row r="250" spans="5:55" ht="13" x14ac:dyDescent="0.15">
      <c r="G250" s="1" t="s">
        <v>1162</v>
      </c>
      <c r="N250" s="1" t="str">
        <f ca="1">IFERROR(__xludf.DUMMYFUNCTION("CONCAT(LEFT(REGEXREPLACE(AX250, ""[^A-Za-z0-9]"", """"), 20), TEXT(ROW(AX250)-1, ""000""))"),"FraudDetectionusingP249")</f>
        <v>FraudDetectionusingP249</v>
      </c>
      <c r="W250" s="1" t="s">
        <v>86</v>
      </c>
      <c r="AK250" s="1" t="s">
        <v>1163</v>
      </c>
      <c r="AL250" s="1" t="s">
        <v>1164</v>
      </c>
      <c r="AT250" s="1" t="s">
        <v>1165</v>
      </c>
      <c r="AX250" s="1" t="s">
        <v>1166</v>
      </c>
      <c r="BC250" s="1">
        <v>1998</v>
      </c>
    </row>
    <row r="251" spans="5:55" ht="13" x14ac:dyDescent="0.15">
      <c r="G251" s="1" t="s">
        <v>1167</v>
      </c>
      <c r="N251" s="1" t="str">
        <f ca="1">IFERROR(__xludf.DUMMYFUNCTION("CONCAT(LEFT(REGEXREPLACE(AX251, ""[^A-Za-z0-9]"", """"), 20), TEXT(ROW(AX251)-1, ""000""))"),"FromGLMtoGBMPart1How250")</f>
        <v>FromGLMtoGBMPart1How250</v>
      </c>
      <c r="W251" s="1" t="s">
        <v>86</v>
      </c>
      <c r="AL251" s="1" t="s">
        <v>1168</v>
      </c>
      <c r="AT251" s="2" t="s">
        <v>1169</v>
      </c>
      <c r="AX251" s="1" t="s">
        <v>1170</v>
      </c>
      <c r="BC251" s="1">
        <v>2020</v>
      </c>
    </row>
    <row r="252" spans="5:55" ht="13" x14ac:dyDescent="0.15">
      <c r="G252" s="1" t="s">
        <v>1171</v>
      </c>
      <c r="N252" s="1" t="str">
        <f ca="1">IFERROR(__xludf.DUMMYFUNCTION("CONCAT(LEFT(REGEXREPLACE(AX252, ""[^A-Za-z0-9]"", """"), 20), TEXT(ROW(AX252)-1, ""000""))"),"FromGLMtoGBMPart2How251")</f>
        <v>FromGLMtoGBMPart2How251</v>
      </c>
      <c r="W252" s="1" t="s">
        <v>86</v>
      </c>
      <c r="AL252" s="1" t="s">
        <v>1172</v>
      </c>
      <c r="AT252" s="2" t="s">
        <v>1169</v>
      </c>
      <c r="AX252" s="1" t="s">
        <v>1173</v>
      </c>
      <c r="BC252" s="1">
        <v>2020</v>
      </c>
    </row>
    <row r="253" spans="5:55" ht="13" x14ac:dyDescent="0.15">
      <c r="G253" s="1" t="s">
        <v>1174</v>
      </c>
      <c r="N253" s="1" t="str">
        <f ca="1">IFERROR(__xludf.DUMMYFUNCTION("CONCAT(LEFT(REGEXREPLACE(AX253, ""[^A-Za-z0-9]"", """"), 20), TEXT(ROW(AX253)-1, ""000""))"),"Fromhumancenteredtos252")</f>
        <v>Fromhumancenteredtos252</v>
      </c>
      <c r="T253" s="1" t="s">
        <v>1175</v>
      </c>
      <c r="W253" s="1" t="s">
        <v>57</v>
      </c>
      <c r="AF253" s="1" t="s">
        <v>603</v>
      </c>
      <c r="AM253" s="1">
        <v>4</v>
      </c>
      <c r="AX253" s="1" t="s">
        <v>1176</v>
      </c>
      <c r="AZ253" s="2" t="s">
        <v>1177</v>
      </c>
      <c r="BB253" s="1">
        <v>11</v>
      </c>
      <c r="BC253" s="1">
        <v>2024</v>
      </c>
    </row>
    <row r="254" spans="5:55" ht="13" x14ac:dyDescent="0.15">
      <c r="E254" s="1" t="s">
        <v>91</v>
      </c>
      <c r="G254" s="1" t="s">
        <v>1178</v>
      </c>
      <c r="N254" s="1" t="str">
        <f ca="1">IFERROR(__xludf.DUMMYFUNCTION("CONCAT(LEFT(REGEXREPLACE(AX254, ""[^A-Za-z0-9]"", """"), 20), TEXT(ROW(AX254)-1, ""000""))"),"Fromplanecrashestoal253")</f>
        <v>Fromplanecrashestoal253</v>
      </c>
      <c r="W254" s="1" t="s">
        <v>86</v>
      </c>
      <c r="X254" s="1">
        <v>2210.0353500000001</v>
      </c>
      <c r="AS254" s="1" t="s">
        <v>1179</v>
      </c>
      <c r="AX254" s="1" t="s">
        <v>1180</v>
      </c>
      <c r="AZ254" s="2" t="s">
        <v>1181</v>
      </c>
      <c r="BC254" s="1">
        <v>2022</v>
      </c>
    </row>
    <row r="255" spans="5:55" ht="13" x14ac:dyDescent="0.15">
      <c r="G255" s="1" t="s">
        <v>1182</v>
      </c>
      <c r="M255" s="1" t="s">
        <v>1183</v>
      </c>
      <c r="N255" s="1" t="str">
        <f ca="1">IFERROR(__xludf.DUMMYFUNCTION("CONCAT(LEFT(REGEXREPLACE(AX255, ""[^A-Za-z0-9]"", """"), 20), TEXT(ROW(AX255)-1, ""000""))"),"FromRepresentational254")</f>
        <v>FromRepresentational254</v>
      </c>
      <c r="W255" s="1" t="s">
        <v>64</v>
      </c>
      <c r="AP255" s="1" t="s">
        <v>1184</v>
      </c>
      <c r="AX255" s="1" t="s">
        <v>1185</v>
      </c>
      <c r="AZ255" t="s">
        <v>2771</v>
      </c>
      <c r="BC255" s="1">
        <v>2024</v>
      </c>
    </row>
    <row r="256" spans="5:55" ht="13" x14ac:dyDescent="0.15">
      <c r="G256" s="1" t="s">
        <v>1186</v>
      </c>
      <c r="N256" s="1" t="str">
        <f ca="1">IFERROR(__xludf.DUMMYFUNCTION("CONCAT(LEFT(REGEXREPLACE(AX256, ""[^A-Za-z0-9]"", """"), 20), TEXT(ROW(AX256)-1, ""000""))"),"FrontierModelForumWh255")</f>
        <v>FrontierModelForumWh255</v>
      </c>
      <c r="W256" s="1" t="s">
        <v>86</v>
      </c>
      <c r="Z256" s="1" t="s">
        <v>1187</v>
      </c>
      <c r="AX256" s="1" t="s">
        <v>1188</v>
      </c>
      <c r="BC256" s="1">
        <v>2023</v>
      </c>
    </row>
    <row r="257" spans="1:55" ht="13" x14ac:dyDescent="0.15">
      <c r="G257" s="1" t="s">
        <v>921</v>
      </c>
      <c r="N257" s="1" t="str">
        <f ca="1">IFERROR(__xludf.DUMMYFUNCTION("CONCAT(LEFT(REGEXREPLACE(AX257, ""[^A-Za-z0-9]"", """"), 20), TEXT(ROW(AX257)-1, ""000""))"),"GAMINetAnExplainable256")</f>
        <v>GAMINetAnExplainable256</v>
      </c>
      <c r="W257" s="1" t="s">
        <v>57</v>
      </c>
      <c r="AF257" s="1" t="s">
        <v>1189</v>
      </c>
      <c r="AL257" s="1" t="s">
        <v>1190</v>
      </c>
      <c r="AP257" s="1">
        <v>108192</v>
      </c>
      <c r="AT257" s="1" t="s">
        <v>187</v>
      </c>
      <c r="AX257" s="1" t="s">
        <v>1191</v>
      </c>
      <c r="BB257" s="1">
        <v>120</v>
      </c>
      <c r="BC257" s="1">
        <v>2021</v>
      </c>
    </row>
    <row r="258" spans="1:55" ht="13" x14ac:dyDescent="0.15">
      <c r="G258" s="1" t="s">
        <v>1192</v>
      </c>
      <c r="N258" s="1" t="str">
        <f ca="1">IFERROR(__xludf.DUMMYFUNCTION("CONCAT(LEFT(REGEXREPLACE(AX258, ""[^A-Za-z0-9]"", """"), 20), TEXT(ROW(AX258)-1, ""000""))"),"garakAFrameworkforSe257")</f>
        <v>garakAFrameworkforSe257</v>
      </c>
      <c r="W258" s="1" t="s">
        <v>86</v>
      </c>
      <c r="AX258" s="1" t="s">
        <v>1193</v>
      </c>
      <c r="AZ258" s="2" t="s">
        <v>1194</v>
      </c>
      <c r="BC258" s="1">
        <v>2024</v>
      </c>
    </row>
    <row r="259" spans="1:55" ht="13" x14ac:dyDescent="0.15">
      <c r="G259" s="1" t="s">
        <v>1195</v>
      </c>
      <c r="M259" s="1" t="s">
        <v>1196</v>
      </c>
      <c r="N259" s="1" t="str">
        <f ca="1">IFERROR(__xludf.DUMMYFUNCTION("CONCAT(LEFT(REGEXREPLACE(AX259, ""[^A-Za-z0-9]"", """"), 20), TEXT(ROW(AX259)-1, ""000""))"),"GenderShadesIntersec258")</f>
        <v>GenderShadesIntersec258</v>
      </c>
      <c r="W259" s="1" t="s">
        <v>64</v>
      </c>
      <c r="AL259" s="1" t="s">
        <v>1197</v>
      </c>
      <c r="AP259" s="1" t="s">
        <v>1198</v>
      </c>
      <c r="AX259" s="1" t="s">
        <v>1199</v>
      </c>
      <c r="BC259" s="1">
        <v>2018</v>
      </c>
    </row>
    <row r="260" spans="1:55" ht="13" x14ac:dyDescent="0.15">
      <c r="G260" s="1" t="s">
        <v>1200</v>
      </c>
      <c r="N260" s="1" t="str">
        <f ca="1">IFERROR(__xludf.DUMMYFUNCTION("CONCAT(LEFT(REGEXREPLACE(AX260, ""[^A-Za-z0-9]"", """"), 20), TEXT(ROW(AX260)-1, ""000""))"),"GeneralScalesUnlockA259")</f>
        <v>GeneralScalesUnlockA259</v>
      </c>
      <c r="W260" s="1" t="s">
        <v>57</v>
      </c>
      <c r="AF260" s="1" t="s">
        <v>270</v>
      </c>
      <c r="AM260" s="1">
        <v>8108</v>
      </c>
      <c r="AP260" s="1" t="s">
        <v>1201</v>
      </c>
      <c r="AT260" s="1" t="s">
        <v>272</v>
      </c>
      <c r="AX260" s="1" t="s">
        <v>1202</v>
      </c>
      <c r="AZ260" t="s">
        <v>2711</v>
      </c>
      <c r="BB260" s="1">
        <v>652</v>
      </c>
      <c r="BC260" s="1">
        <v>2026</v>
      </c>
    </row>
    <row r="261" spans="1:55" ht="13" x14ac:dyDescent="0.15">
      <c r="G261" s="1" t="s">
        <v>1203</v>
      </c>
      <c r="L261" s="2" t="s">
        <v>769</v>
      </c>
      <c r="N261" s="1" t="str">
        <f ca="1">IFERROR(__xludf.DUMMYFUNCTION("CONCAT(LEFT(REGEXREPLACE(AX261, ""[^A-Za-z0-9]"", """"), 20), TEXT(ROW(AX261)-1, ""000""))"),"GeneralizedLinearMod260")</f>
        <v>GeneralizedLinearMod260</v>
      </c>
      <c r="W261" s="1" t="s">
        <v>770</v>
      </c>
      <c r="AK261" s="1" t="s">
        <v>527</v>
      </c>
      <c r="AX261" s="1" t="s">
        <v>1204</v>
      </c>
      <c r="AZ261" s="2" t="s">
        <v>769</v>
      </c>
      <c r="BC261" s="1">
        <v>2015</v>
      </c>
    </row>
    <row r="262" spans="1:55" ht="13" x14ac:dyDescent="0.15">
      <c r="G262" s="1" t="s">
        <v>1205</v>
      </c>
      <c r="N262" s="1" t="str">
        <f ca="1">IFERROR(__xludf.DUMMYFUNCTION("CONCAT(LEFT(REGEXREPLACE(AX262, ""[^A-Za-z0-9]"", """"), 20), TEXT(ROW(AX262)-1, ""000""))"),"GeneralizedLowRankMo261")</f>
        <v>GeneralizedLowRankMo261</v>
      </c>
      <c r="W262" s="1" t="s">
        <v>57</v>
      </c>
      <c r="AF262" s="1" t="s">
        <v>1206</v>
      </c>
      <c r="AL262" s="1" t="s">
        <v>1207</v>
      </c>
      <c r="AM262" s="1">
        <v>1</v>
      </c>
      <c r="AP262" s="1" t="s">
        <v>1208</v>
      </c>
      <c r="AT262" s="1" t="s">
        <v>1084</v>
      </c>
      <c r="AX262" s="1" t="s">
        <v>1209</v>
      </c>
      <c r="BB262" s="1">
        <v>9</v>
      </c>
      <c r="BC262" s="1">
        <v>2016</v>
      </c>
    </row>
    <row r="263" spans="1:55" ht="13" x14ac:dyDescent="0.15">
      <c r="G263" s="1" t="s">
        <v>1210</v>
      </c>
      <c r="N263" s="1" t="str">
        <f ca="1">IFERROR(__xludf.DUMMYFUNCTION("CONCAT(LEFT(REGEXREPLACE(AX263, ""[^A-Za-z0-9]"", """"), 20), TEXT(ROW(AX263)-1, ""000""))"),"GenerativeAIHasanInt262")</f>
        <v>GenerativeAIHasanInt262</v>
      </c>
      <c r="W263" s="1" t="s">
        <v>86</v>
      </c>
      <c r="AF263" s="1" t="s">
        <v>1211</v>
      </c>
      <c r="AH263" s="1" t="s">
        <v>114</v>
      </c>
      <c r="AL263" s="1" t="s">
        <v>1212</v>
      </c>
      <c r="AX263" s="1" t="s">
        <v>1213</v>
      </c>
      <c r="AZ263" s="2" t="s">
        <v>1214</v>
      </c>
    </row>
    <row r="264" spans="1:55" ht="13" x14ac:dyDescent="0.15">
      <c r="G264" s="1" t="s">
        <v>1215</v>
      </c>
      <c r="N264" s="1" t="str">
        <f ca="1">IFERROR(__xludf.DUMMYFUNCTION("CONCAT(LEFT(REGEXREPLACE(AX264, ""[^A-Za-z0-9]"", """"), 20), TEXT(ROW(AX264)-1, ""000""))"),"GenerativeAIRedTeami263")</f>
        <v>GenerativeAIRedTeami263</v>
      </c>
      <c r="W264" s="1" t="s">
        <v>86</v>
      </c>
      <c r="Z264" s="1" t="s">
        <v>1216</v>
      </c>
      <c r="AX264" s="1" t="s">
        <v>1217</v>
      </c>
      <c r="BC264" s="1">
        <v>2024</v>
      </c>
    </row>
    <row r="265" spans="1:55" ht="13" x14ac:dyDescent="0.15">
      <c r="G265" s="1" t="s">
        <v>1218</v>
      </c>
      <c r="N265" s="1" t="str">
        <f ca="1">IFERROR(__xludf.DUMMYFUNCTION("CONCAT(LEFT(REGEXREPLACE(AX265, ""[^A-Za-z0-9]"", """"), 20), TEXT(ROW(AX265)-1, ""000""))"),"GenerativeAIRiskMana264")</f>
        <v>GenerativeAIRiskMana264</v>
      </c>
      <c r="W265" s="1" t="s">
        <v>86</v>
      </c>
      <c r="Z265" s="1" t="s">
        <v>1219</v>
      </c>
      <c r="AX265" s="1" t="s">
        <v>1220</v>
      </c>
      <c r="AZ265" s="2" t="s">
        <v>1221</v>
      </c>
      <c r="BC265" s="1">
        <v>2024</v>
      </c>
    </row>
    <row r="266" spans="1:55" ht="13" x14ac:dyDescent="0.15">
      <c r="A266" s="1" t="s">
        <v>1222</v>
      </c>
      <c r="G266" s="1" t="s">
        <v>1223</v>
      </c>
      <c r="N266" s="1" t="str">
        <f ca="1">IFERROR(__xludf.DUMMYFUNCTION("CONCAT(LEFT(REGEXREPLACE(AX266, ""[^A-Za-z0-9]"", """"), 20), TEXT(ROW(AX266)-1, ""000""))"),"Generativeartificial265")</f>
        <v>Generativeartificial265</v>
      </c>
      <c r="T266" s="1" t="s">
        <v>1224</v>
      </c>
      <c r="W266" s="1" t="s">
        <v>57</v>
      </c>
      <c r="AC266" s="1" t="s">
        <v>1225</v>
      </c>
      <c r="AF266" s="1" t="s">
        <v>1226</v>
      </c>
      <c r="AK266" s="1" t="s">
        <v>609</v>
      </c>
      <c r="AM266" s="1">
        <v>11</v>
      </c>
      <c r="AP266" s="1" t="s">
        <v>1227</v>
      </c>
      <c r="AW266" s="1" t="s">
        <v>1228</v>
      </c>
      <c r="AX266" s="1" t="s">
        <v>1229</v>
      </c>
      <c r="AZ266" s="2" t="s">
        <v>1230</v>
      </c>
      <c r="BA266" s="3">
        <v>45796</v>
      </c>
      <c r="BB266" s="1">
        <v>6</v>
      </c>
      <c r="BC266" s="1">
        <v>2024</v>
      </c>
    </row>
    <row r="267" spans="1:55" ht="13" x14ac:dyDescent="0.15">
      <c r="G267" s="1" t="s">
        <v>1231</v>
      </c>
      <c r="N267" s="1" t="str">
        <f ca="1">IFERROR(__xludf.DUMMYFUNCTION("CONCAT(LEFT(REGEXREPLACE(AX267, ""[^A-Za-z0-9]"", """"), 20), TEXT(ROW(AX267)-1, ""000""))"),"GenerativeRedTeamCha266")</f>
        <v>GenerativeRedTeamCha266</v>
      </c>
      <c r="W267" s="1" t="s">
        <v>86</v>
      </c>
      <c r="Z267" s="1" t="s">
        <v>1232</v>
      </c>
      <c r="AX267" s="1" t="s">
        <v>1233</v>
      </c>
      <c r="BC267" s="1">
        <v>2023</v>
      </c>
    </row>
    <row r="268" spans="1:55" ht="13" x14ac:dyDescent="0.15">
      <c r="G268" s="1" t="s">
        <v>1234</v>
      </c>
      <c r="N268" s="1" t="str">
        <f ca="1">IFERROR(__xludf.DUMMYFUNCTION("CONCAT(LEFT(REGEXREPLACE(AX268, ""[^A-Za-z0-9]"", """"), 20), TEXT(ROW(AX268)-1, ""000""))"),"Gettingtoknowandmana267")</f>
        <v>Gettingtoknowandmana267</v>
      </c>
      <c r="W268" s="1" t="s">
        <v>86</v>
      </c>
      <c r="AL268" s="1" t="s">
        <v>1235</v>
      </c>
      <c r="AT268" s="2" t="s">
        <v>1236</v>
      </c>
      <c r="AX268" s="1" t="s">
        <v>1237</v>
      </c>
      <c r="BC268" s="1">
        <v>2021</v>
      </c>
    </row>
    <row r="269" spans="1:55" ht="13" x14ac:dyDescent="0.15">
      <c r="G269" s="1" t="s">
        <v>1238</v>
      </c>
      <c r="M269" s="1" t="s">
        <v>1239</v>
      </c>
      <c r="N269" s="1" t="str">
        <f ca="1">IFERROR(__xludf.DUMMYFUNCTION("CONCAT(LEFT(REGEXREPLACE(AX269, ""[^A-Za-z0-9]"", """"), 20), TEXT(ROW(AX269)-1, ""000""))"),"GlazeProtectingartis268")</f>
        <v>GlazeProtectingartis268</v>
      </c>
      <c r="W269" s="1" t="s">
        <v>64</v>
      </c>
      <c r="AP269" s="1" t="s">
        <v>1240</v>
      </c>
      <c r="AX269" s="1" t="s">
        <v>1241</v>
      </c>
      <c r="AZ269" t="s">
        <v>2772</v>
      </c>
      <c r="BC269" s="1">
        <v>2023</v>
      </c>
    </row>
    <row r="270" spans="1:55" ht="13" x14ac:dyDescent="0.15">
      <c r="B270" s="1" t="s">
        <v>1242</v>
      </c>
      <c r="G270" s="1" t="s">
        <v>1243</v>
      </c>
      <c r="N270" s="1" t="str">
        <f ca="1">IFERROR(__xludf.DUMMYFUNCTION("CONCAT(LEFT(REGEXREPLACE(AX270, ""[^A-Za-z0-9]"", """"), 20), TEXT(ROW(AX270)-1, ""000""))"),"GlobalLawandPolicyTr269")</f>
        <v>GlobalLawandPolicyTr269</v>
      </c>
      <c r="W270" s="1" t="s">
        <v>86</v>
      </c>
      <c r="AX270" s="1" t="s">
        <v>1244</v>
      </c>
      <c r="AZ270" s="2" t="s">
        <v>1245</v>
      </c>
    </row>
    <row r="271" spans="1:55" ht="13" x14ac:dyDescent="0.15">
      <c r="G271" s="1" t="s">
        <v>1246</v>
      </c>
      <c r="N271" s="1" t="str">
        <f ca="1">IFERROR(__xludf.DUMMYFUNCTION("CONCAT(LEFT(REGEXREPLACE(AX271, ""[^A-Za-z0-9]"", """"), 20), TEXT(ROW(AX271)-1, ""000""))"),"GlossaryofTermsSpeci270")</f>
        <v>GlossaryofTermsSpeci270</v>
      </c>
      <c r="W271" s="1" t="s">
        <v>86</v>
      </c>
      <c r="Z271" s="1" t="s">
        <v>1247</v>
      </c>
      <c r="AX271" s="1" t="s">
        <v>1248</v>
      </c>
      <c r="BC271" s="1">
        <v>1998</v>
      </c>
    </row>
    <row r="272" spans="1:55" ht="13" x14ac:dyDescent="0.15">
      <c r="G272" s="1" t="s">
        <v>1249</v>
      </c>
      <c r="M272" s="1" t="s">
        <v>1250</v>
      </c>
      <c r="N272" s="1" t="str">
        <f ca="1">IFERROR(__xludf.DUMMYFUNCTION("CONCAT(LEFT(REGEXREPLACE(AX272, ""[^A-Za-z0-9]"", """"), 20), TEXT(ROW(AX272)-1, ""000""))"),"GloveGlobalvectorsfo271")</f>
        <v>GloveGlobalvectorsfo271</v>
      </c>
      <c r="W272" s="1" t="s">
        <v>64</v>
      </c>
      <c r="AP272" s="1" t="s">
        <v>1251</v>
      </c>
      <c r="AX272" s="1" t="s">
        <v>1252</v>
      </c>
      <c r="AZ272" s="2" t="s">
        <v>1253</v>
      </c>
      <c r="BC272" s="1">
        <v>2014</v>
      </c>
    </row>
    <row r="273" spans="5:55" ht="13" x14ac:dyDescent="0.15">
      <c r="G273" s="1" t="s">
        <v>1254</v>
      </c>
      <c r="M273" s="1" t="s">
        <v>1255</v>
      </c>
      <c r="N273" s="1" t="str">
        <f ca="1">IFERROR(__xludf.DUMMYFUNCTION("CONCAT(LEFT(REGEXREPLACE(AX273, ""[^A-Za-z0-9]"", """"), 20), TEXT(ROW(AX273)-1, ""000""))"),"GLUEAMultitaskBenchm272")</f>
        <v>GLUEAMultitaskBenchm272</v>
      </c>
      <c r="W273" s="1" t="s">
        <v>64</v>
      </c>
      <c r="AP273" s="1" t="s">
        <v>1256</v>
      </c>
      <c r="AX273" s="1" t="s">
        <v>1257</v>
      </c>
      <c r="AZ273" s="2" t="s">
        <v>1258</v>
      </c>
      <c r="BC273" s="1">
        <v>2018</v>
      </c>
    </row>
    <row r="274" spans="5:55" ht="13" x14ac:dyDescent="0.15">
      <c r="G274" s="1" t="s">
        <v>1259</v>
      </c>
      <c r="L274" s="2" t="s">
        <v>1260</v>
      </c>
      <c r="N274" s="1" t="str">
        <f ca="1">IFERROR(__xludf.DUMMYFUNCTION("CONCAT(LEFT(REGEXREPLACE(AX274, ""[^A-Za-z0-9]"", """"), 20), TEXT(ROW(AX274)-1, ""000""))"),"GoingDeeperwithConvo273")</f>
        <v>GoingDeeperwithConvo273</v>
      </c>
      <c r="W274" s="1" t="s">
        <v>57</v>
      </c>
      <c r="AX274" s="1" t="s">
        <v>1261</v>
      </c>
      <c r="AZ274" s="2" t="s">
        <v>1260</v>
      </c>
      <c r="BC274" s="1">
        <v>2014</v>
      </c>
    </row>
    <row r="275" spans="5:55" ht="13" x14ac:dyDescent="0.15">
      <c r="G275" s="1" t="s">
        <v>1262</v>
      </c>
      <c r="N275" s="1" t="str">
        <f ca="1">IFERROR(__xludf.DUMMYFUNCTION("CONCAT(LEFT(REGEXREPLACE(AX275, ""[^A-Za-z0-9]"", """"), 20), TEXT(ROW(AX275)-1, ""000""))"),"GooglesRewardCriteri274")</f>
        <v>GooglesRewardCriteri274</v>
      </c>
      <c r="W275" s="1" t="s">
        <v>86</v>
      </c>
      <c r="Z275" s="1" t="s">
        <v>1263</v>
      </c>
      <c r="AX275" s="1" t="s">
        <v>1264</v>
      </c>
      <c r="BC275" s="1">
        <v>2023</v>
      </c>
    </row>
    <row r="276" spans="5:55" ht="13" x14ac:dyDescent="0.15">
      <c r="G276" s="1" t="s">
        <v>1265</v>
      </c>
      <c r="N276" s="1" t="str">
        <f ca="1">IFERROR(__xludf.DUMMYFUNCTION("CONCAT(LEFT(REGEXREPLACE(AX276, ""[^A-Za-z0-9]"", """"), 20), TEXT(ROW(AX276)-1, ""000""))"),"GoverningwithArtific275")</f>
        <v>GoverningwithArtific275</v>
      </c>
      <c r="T276" s="1" t="s">
        <v>1266</v>
      </c>
      <c r="W276" s="1" t="s">
        <v>86</v>
      </c>
      <c r="AH276" s="1" t="s">
        <v>114</v>
      </c>
      <c r="AK276" s="1" t="s">
        <v>407</v>
      </c>
      <c r="AM276" s="1">
        <v>20</v>
      </c>
      <c r="AX276" s="1" t="s">
        <v>1267</v>
      </c>
      <c r="AZ276" s="2" t="s">
        <v>1268</v>
      </c>
      <c r="BC276" s="1">
        <v>2024</v>
      </c>
    </row>
    <row r="277" spans="5:55" ht="13" x14ac:dyDescent="0.15">
      <c r="E277" s="1" t="s">
        <v>91</v>
      </c>
      <c r="G277" s="1" t="s">
        <v>1269</v>
      </c>
      <c r="N277" s="1" t="str">
        <f ca="1">IFERROR(__xludf.DUMMYFUNCTION("CONCAT(LEFT(REGEXREPLACE(AX277, ""[^A-Za-z0-9]"", """"), 20), TEXT(ROW(AX277)-1, ""000""))"),"GPT4technicalreport276")</f>
        <v>GPT4technicalreport276</v>
      </c>
      <c r="W277" s="1" t="s">
        <v>86</v>
      </c>
      <c r="X277" s="1">
        <v>2303.0877399999999</v>
      </c>
      <c r="AS277" s="2" t="s">
        <v>375</v>
      </c>
      <c r="AX277" s="1" t="s">
        <v>1270</v>
      </c>
      <c r="AZ277" s="2" t="s">
        <v>1271</v>
      </c>
      <c r="BC277" s="1">
        <v>2024</v>
      </c>
    </row>
    <row r="278" spans="5:55" ht="13" x14ac:dyDescent="0.15">
      <c r="G278" s="1" t="s">
        <v>1272</v>
      </c>
      <c r="L278" s="2" t="s">
        <v>769</v>
      </c>
      <c r="N278" s="1" t="str">
        <f ca="1">IFERROR(__xludf.DUMMYFUNCTION("CONCAT(LEFT(REGEXREPLACE(AX278, ""[^A-Za-z0-9]"", """"), 20), TEXT(ROW(AX278)-1, ""000""))"),"GradientBoostedModel277")</f>
        <v>GradientBoostedModel277</v>
      </c>
      <c r="W278" s="1" t="s">
        <v>770</v>
      </c>
      <c r="AK278" s="1" t="s">
        <v>527</v>
      </c>
      <c r="AX278" s="1" t="s">
        <v>1273</v>
      </c>
      <c r="AZ278" s="2" t="s">
        <v>769</v>
      </c>
      <c r="BC278" s="1">
        <v>2015</v>
      </c>
    </row>
    <row r="279" spans="5:55" ht="13" x14ac:dyDescent="0.15">
      <c r="G279" s="1" t="s">
        <v>1274</v>
      </c>
      <c r="L279" s="2" t="s">
        <v>1275</v>
      </c>
      <c r="M279" s="1" t="s">
        <v>1276</v>
      </c>
      <c r="N279" s="1" t="str">
        <f ca="1">IFERROR(__xludf.DUMMYFUNCTION("CONCAT(LEFT(REGEXREPLACE(AX279, ""[^A-Za-z0-9]"", """"), 20), TEXT(ROW(AX279)-1, ""000""))"),"GradientBasedLearnin278")</f>
        <v>GradientBasedLearnin278</v>
      </c>
      <c r="W279" s="1" t="s">
        <v>64</v>
      </c>
      <c r="AX279" s="1" t="s">
        <v>1277</v>
      </c>
      <c r="AZ279" s="2" t="s">
        <v>1275</v>
      </c>
      <c r="BC279" s="10">
        <v>36100</v>
      </c>
    </row>
    <row r="280" spans="5:55" ht="13" x14ac:dyDescent="0.15">
      <c r="G280" s="1" t="s">
        <v>189</v>
      </c>
      <c r="N280" s="1" t="str">
        <f ca="1">IFERROR(__xludf.DUMMYFUNCTION("CONCAT(LEFT(REGEXREPLACE(AX280, ""[^A-Za-z0-9]"", """"), 20), TEXT(ROW(AX280)-1, ""000""))"),"GreedyFunctionApprox279")</f>
        <v>GreedyFunctionApprox279</v>
      </c>
      <c r="W280" s="1" t="s">
        <v>57</v>
      </c>
      <c r="AF280" s="1" t="s">
        <v>1278</v>
      </c>
      <c r="AL280" s="1" t="s">
        <v>1279</v>
      </c>
      <c r="AP280" s="1" t="s">
        <v>1280</v>
      </c>
      <c r="AT280" s="1" t="s">
        <v>1281</v>
      </c>
      <c r="AX280" s="1" t="s">
        <v>1282</v>
      </c>
      <c r="BC280" s="1">
        <v>2001</v>
      </c>
    </row>
    <row r="281" spans="5:55" ht="13" x14ac:dyDescent="0.15">
      <c r="G281" s="1" t="s">
        <v>1283</v>
      </c>
      <c r="M281" s="1" t="s">
        <v>1284</v>
      </c>
      <c r="N281" s="1" t="str">
        <f ca="1">IFERROR(__xludf.DUMMYFUNCTION("CONCAT(LEFT(REGEXREPLACE(AX281, ""[^A-Za-z0-9]"", """"), 20), TEXT(ROW(AX281)-1, ""000""))"),"GuidelinesforhumanAI280")</f>
        <v>GuidelinesforhumanAI280</v>
      </c>
      <c r="W281" s="1" t="s">
        <v>108</v>
      </c>
      <c r="AL281" s="1" t="s">
        <v>1285</v>
      </c>
      <c r="AX281" s="1" t="s">
        <v>1286</v>
      </c>
      <c r="AZ281" t="s">
        <v>2773</v>
      </c>
      <c r="BC281" s="1">
        <v>2019</v>
      </c>
    </row>
    <row r="282" spans="5:55" ht="13" x14ac:dyDescent="0.15">
      <c r="G282" s="1" t="s">
        <v>1287</v>
      </c>
      <c r="N282" s="1" t="str">
        <f ca="1">IFERROR(__xludf.DUMMYFUNCTION("CONCAT(LEFT(REGEXREPLACE(AX282, ""[^A-Za-z0-9]"", """"), 20), TEXT(ROW(AX282)-1, ""000""))"),"GuidelinesfortheResp281")</f>
        <v>GuidelinesfortheResp281</v>
      </c>
      <c r="W282" s="1" t="s">
        <v>57</v>
      </c>
      <c r="AF282" s="1" t="s">
        <v>1288</v>
      </c>
      <c r="AL282" s="1" t="s">
        <v>1289</v>
      </c>
      <c r="AX282" s="1" t="s">
        <v>1290</v>
      </c>
      <c r="BC282" s="1">
        <v>2019</v>
      </c>
    </row>
    <row r="283" spans="5:55" ht="13" x14ac:dyDescent="0.15">
      <c r="G283" s="1" t="s">
        <v>1291</v>
      </c>
      <c r="L283" s="2" t="s">
        <v>1292</v>
      </c>
      <c r="N283" s="1" t="str">
        <f ca="1">IFERROR(__xludf.DUMMYFUNCTION("CONCAT(LEFT(REGEXREPLACE(AX283, ""[^A-Za-z0-9]"", """"), 20), TEXT(ROW(AX283)-1, ""000""))"),"H2ODatasets282")</f>
        <v>H2ODatasets282</v>
      </c>
      <c r="W283" s="1" t="s">
        <v>86</v>
      </c>
      <c r="AX283" s="1" t="s">
        <v>1293</v>
      </c>
      <c r="AZ283" s="2" t="s">
        <v>1292</v>
      </c>
      <c r="BC283" s="1" t="s">
        <v>1294</v>
      </c>
    </row>
    <row r="284" spans="5:55" ht="13" x14ac:dyDescent="0.15">
      <c r="G284" s="1" t="s">
        <v>1291</v>
      </c>
      <c r="L284" s="2" t="s">
        <v>1295</v>
      </c>
      <c r="N284" s="1" t="str">
        <f ca="1">IFERROR(__xludf.DUMMYFUNCTION("CONCAT(LEFT(REGEXREPLACE(AX284, ""[^A-Za-z0-9]"", """"), 20), TEXT(ROW(AX284)-1, ""000""))"),"H2Odocumentation283")</f>
        <v>H2Odocumentation283</v>
      </c>
      <c r="W284" s="1" t="s">
        <v>86</v>
      </c>
      <c r="AX284" s="1" t="s">
        <v>1296</v>
      </c>
      <c r="AZ284" s="2" t="s">
        <v>1295</v>
      </c>
      <c r="BC284" s="1" t="s">
        <v>1294</v>
      </c>
    </row>
    <row r="285" spans="5:55" ht="13" x14ac:dyDescent="0.15">
      <c r="G285" s="1" t="s">
        <v>1291</v>
      </c>
      <c r="L285" s="2" t="s">
        <v>1297</v>
      </c>
      <c r="N285" s="1" t="str">
        <f ca="1">IFERROR(__xludf.DUMMYFUNCTION("CONCAT(LEFT(REGEXREPLACE(AX285, ""[^A-Za-z0-9]"", """"), 20), TEXT(ROW(AX285)-1, ""000""))"),"H2OGitHubRepository284")</f>
        <v>H2OGitHubRepository284</v>
      </c>
      <c r="W285" s="1" t="s">
        <v>86</v>
      </c>
      <c r="AX285" s="1" t="s">
        <v>1298</v>
      </c>
      <c r="AZ285" s="2" t="s">
        <v>1297</v>
      </c>
      <c r="BC285" s="1" t="s">
        <v>1294</v>
      </c>
    </row>
    <row r="286" spans="5:55" ht="13" x14ac:dyDescent="0.15">
      <c r="G286" s="1" t="s">
        <v>1291</v>
      </c>
      <c r="L286" s="2" t="s">
        <v>1299</v>
      </c>
      <c r="N286" s="1" t="str">
        <f ca="1">IFERROR(__xludf.DUMMYFUNCTION("CONCAT(LEFT(REGEXREPLACE(AX286, ""[^A-Za-z0-9]"", """"), 20), TEXT(ROW(AX286)-1, ""000""))"),"H2OGitHubrepositoryf285")</f>
        <v>H2OGitHubrepositoryf285</v>
      </c>
      <c r="W286" s="1" t="s">
        <v>1300</v>
      </c>
      <c r="AX286" s="1" t="s">
        <v>1301</v>
      </c>
      <c r="AZ286" s="2" t="s">
        <v>1299</v>
      </c>
      <c r="BC286" s="1" t="s">
        <v>1294</v>
      </c>
    </row>
    <row r="287" spans="5:55" ht="13" x14ac:dyDescent="0.15">
      <c r="G287" s="1" t="s">
        <v>1291</v>
      </c>
      <c r="L287" s="2" t="s">
        <v>1302</v>
      </c>
      <c r="N287" s="1" t="str">
        <f ca="1">IFERROR(__xludf.DUMMYFUNCTION("CONCAT(LEFT(REGEXREPLACE(AX287, ""[^A-Za-z0-9]"", """"), 20), TEXT(ROW(AX287)-1, ""000""))"),"H2OJIRA286")</f>
        <v>H2OJIRA286</v>
      </c>
      <c r="W287" s="1" t="s">
        <v>86</v>
      </c>
      <c r="AX287" s="1" t="s">
        <v>1303</v>
      </c>
      <c r="AZ287" s="2" t="s">
        <v>1302</v>
      </c>
      <c r="BC287" s="1" t="s">
        <v>1294</v>
      </c>
    </row>
    <row r="288" spans="5:55" ht="13" x14ac:dyDescent="0.15">
      <c r="G288" s="1" t="s">
        <v>1291</v>
      </c>
      <c r="L288" s="2" t="s">
        <v>1304</v>
      </c>
      <c r="N288" s="1" t="str">
        <f ca="1">IFERROR(__xludf.DUMMYFUNCTION("CONCAT(LEFT(REGEXREPLACE(AX288, ""[^A-Za-z0-9]"", """"), 20), TEXT(ROW(AX288)-1, ""000""))"),"H2OPythonDocumentati287")</f>
        <v>H2OPythonDocumentati287</v>
      </c>
      <c r="W288" s="1" t="s">
        <v>86</v>
      </c>
      <c r="AX288" s="1" t="s">
        <v>1305</v>
      </c>
      <c r="AZ288" s="2" t="s">
        <v>1304</v>
      </c>
      <c r="BC288" s="1">
        <v>2015</v>
      </c>
    </row>
    <row r="289" spans="1:55" ht="13" x14ac:dyDescent="0.15">
      <c r="G289" s="1" t="s">
        <v>1291</v>
      </c>
      <c r="L289" s="2" t="s">
        <v>1306</v>
      </c>
      <c r="N289" s="1" t="str">
        <f ca="1">IFERROR(__xludf.DUMMYFUNCTION("CONCAT(LEFT(REGEXREPLACE(AX289, ""[^A-Za-z0-9]"", """"), 20), TEXT(ROW(AX289)-1, ""000""))"),"H2ORPackageDocumenta288")</f>
        <v>H2ORPackageDocumenta288</v>
      </c>
      <c r="W289" s="1" t="s">
        <v>1300</v>
      </c>
      <c r="AX289" s="1" t="s">
        <v>1307</v>
      </c>
      <c r="AZ289" s="2" t="s">
        <v>1306</v>
      </c>
      <c r="BC289" s="1" t="s">
        <v>1294</v>
      </c>
    </row>
    <row r="290" spans="1:55" ht="13" x14ac:dyDescent="0.15">
      <c r="G290" s="1" t="s">
        <v>1291</v>
      </c>
      <c r="L290" s="2" t="s">
        <v>1308</v>
      </c>
      <c r="N290" s="1" t="str">
        <f ca="1">IFERROR(__xludf.DUMMYFUNCTION("CONCAT(LEFT(REGEXREPLACE(AX290, ""[^A-Za-z0-9]"", """"), 20), TEXT(ROW(AX290)-1, ""000""))"),"H2Owebsite289")</f>
        <v>H2Owebsite289</v>
      </c>
      <c r="W290" s="1" t="s">
        <v>86</v>
      </c>
      <c r="AF290" s="2" t="s">
        <v>1169</v>
      </c>
      <c r="AX290" s="1" t="s">
        <v>1309</v>
      </c>
      <c r="AZ290" s="2" t="s">
        <v>1308</v>
      </c>
      <c r="BC290" s="1" t="s">
        <v>1294</v>
      </c>
    </row>
    <row r="291" spans="1:55" ht="13" x14ac:dyDescent="0.15">
      <c r="G291" s="1" t="s">
        <v>1291</v>
      </c>
      <c r="L291" s="2" t="s">
        <v>1310</v>
      </c>
      <c r="N291" s="1" t="str">
        <f ca="1">IFERROR(__xludf.DUMMYFUNCTION("CONCAT(LEFT(REGEXREPLACE(AX291, ""[^A-Za-z0-9]"", """"), 20), TEXT(ROW(AX291)-1, ""000""))"),"h2oPythonInterfacefo290")</f>
        <v>h2oPythonInterfacefo290</v>
      </c>
      <c r="W291" s="1" t="s">
        <v>770</v>
      </c>
      <c r="AL291" s="1" t="s">
        <v>1311</v>
      </c>
      <c r="AX291" s="1" t="s">
        <v>1312</v>
      </c>
      <c r="AZ291" s="2" t="s">
        <v>1310</v>
      </c>
      <c r="BC291" s="1" t="s">
        <v>1294</v>
      </c>
    </row>
    <row r="292" spans="1:55" ht="13" x14ac:dyDescent="0.15">
      <c r="G292" s="1" t="s">
        <v>1291</v>
      </c>
      <c r="L292" s="2" t="s">
        <v>1310</v>
      </c>
      <c r="N292" s="1" t="str">
        <f ca="1">IFERROR(__xludf.DUMMYFUNCTION("CONCAT(LEFT(REGEXREPLACE(AX292, ""[^A-Za-z0-9]"", """"), 20), TEXT(ROW(AX292)-1, ""000""))"),"h2oRInterfaceforH2O291")</f>
        <v>h2oRInterfaceforH2O291</v>
      </c>
      <c r="W292" s="1" t="s">
        <v>770</v>
      </c>
      <c r="AL292" s="1" t="s">
        <v>1313</v>
      </c>
      <c r="AX292" s="1" t="s">
        <v>1314</v>
      </c>
      <c r="AZ292" s="2" t="s">
        <v>1310</v>
      </c>
      <c r="BC292" s="1" t="s">
        <v>1294</v>
      </c>
    </row>
    <row r="293" spans="1:55" ht="13" x14ac:dyDescent="0.15">
      <c r="G293" s="1" t="s">
        <v>1291</v>
      </c>
      <c r="L293" s="2" t="s">
        <v>1310</v>
      </c>
      <c r="N293" s="1" t="str">
        <f ca="1">IFERROR(__xludf.DUMMYFUNCTION("CONCAT(LEFT(REGEXREPLACE(AX293, ""[^A-Za-z0-9]"", """"), 20), TEXT(ROW(AX293)-1, ""000""))"),"H2OScalableMachineLe292")</f>
        <v>H2OScalableMachineLe292</v>
      </c>
      <c r="W293" s="1" t="s">
        <v>770</v>
      </c>
      <c r="AL293" s="1" t="s">
        <v>1315</v>
      </c>
      <c r="AX293" s="1" t="s">
        <v>1316</v>
      </c>
      <c r="AZ293" s="2" t="s">
        <v>1310</v>
      </c>
      <c r="BC293" s="1" t="s">
        <v>1294</v>
      </c>
    </row>
    <row r="294" spans="1:55" ht="13" x14ac:dyDescent="0.15">
      <c r="G294" s="1" t="s">
        <v>1291</v>
      </c>
      <c r="L294" s="2" t="s">
        <v>1317</v>
      </c>
      <c r="N294" s="1" t="str">
        <f ca="1">IFERROR(__xludf.DUMMYFUNCTION("CONCAT(LEFT(REGEXREPLACE(AX294, ""[^A-Za-z0-9]"", """"), 20), TEXT(ROW(AX294)-1, ""000""))"),"H2Ostream293")</f>
        <v>H2Ostream293</v>
      </c>
      <c r="W294" s="1" t="s">
        <v>86</v>
      </c>
      <c r="AX294" s="1" t="s">
        <v>1318</v>
      </c>
      <c r="AZ294" s="2" t="s">
        <v>1317</v>
      </c>
      <c r="BC294" s="1" t="s">
        <v>1294</v>
      </c>
    </row>
    <row r="295" spans="1:55" ht="13" x14ac:dyDescent="0.15">
      <c r="G295" s="1" t="s">
        <v>1319</v>
      </c>
      <c r="N295" s="1" t="str">
        <f ca="1">IFERROR(__xludf.DUMMYFUNCTION("CONCAT(LEFT(REGEXREPLACE(AX295, ""[^A-Za-z0-9]"", """"), 20), TEXT(ROW(AX295)-1, ""000""))"),"HallucinationsLeader294")</f>
        <v>HallucinationsLeader294</v>
      </c>
      <c r="W295" s="1" t="s">
        <v>86</v>
      </c>
      <c r="Z295" s="1" t="s">
        <v>1320</v>
      </c>
      <c r="AX295" s="1" t="s">
        <v>1321</v>
      </c>
    </row>
    <row r="296" spans="1:55" ht="13" x14ac:dyDescent="0.15">
      <c r="A296" s="1" t="s">
        <v>1322</v>
      </c>
      <c r="G296" s="1" t="s">
        <v>1323</v>
      </c>
      <c r="N296" s="1" t="str">
        <f ca="1">IFERROR(__xludf.DUMMYFUNCTION("CONCAT(LEFT(REGEXREPLACE(AX296, ""[^A-Za-z0-9]"", """"), 20), TEXT(ROW(AX296)-1, ""000""))"),"Hardchoicesinartific295")</f>
        <v>Hardchoicesinartific295</v>
      </c>
      <c r="T296" s="2" t="s">
        <v>1324</v>
      </c>
      <c r="W296" s="1" t="s">
        <v>57</v>
      </c>
      <c r="AC296" s="1" t="s">
        <v>1325</v>
      </c>
      <c r="AF296" s="1" t="s">
        <v>1326</v>
      </c>
      <c r="AG296" s="1" t="s">
        <v>1327</v>
      </c>
      <c r="AP296" s="1">
        <v>103555</v>
      </c>
      <c r="AX296" s="1" t="s">
        <v>1328</v>
      </c>
      <c r="AZ296" s="2" t="s">
        <v>1329</v>
      </c>
      <c r="BB296" s="1">
        <v>300</v>
      </c>
      <c r="BC296" s="1">
        <v>2021</v>
      </c>
    </row>
    <row r="297" spans="1:55" ht="13" x14ac:dyDescent="0.15">
      <c r="G297" s="1" t="s">
        <v>1330</v>
      </c>
      <c r="M297" s="1" t="s">
        <v>1331</v>
      </c>
      <c r="N297" s="1" t="str">
        <f ca="1">IFERROR(__xludf.DUMMYFUNCTION("CONCAT(LEFT(REGEXREPLACE(AX297, ""[^A-Za-z0-9]"", """"), 20), TEXT(ROW(AX297)-1, ""000""))"),"Harmfulspeechdetecti296")</f>
        <v>Harmfulspeechdetecti296</v>
      </c>
      <c r="W297" s="1" t="s">
        <v>64</v>
      </c>
      <c r="AP297" s="1" t="s">
        <v>1332</v>
      </c>
      <c r="AX297" s="1" t="s">
        <v>1333</v>
      </c>
      <c r="AZ297" t="s">
        <v>2774</v>
      </c>
      <c r="BC297" s="1">
        <v>2024</v>
      </c>
    </row>
    <row r="298" spans="1:55" ht="13" x14ac:dyDescent="0.15">
      <c r="A298" s="1" t="s">
        <v>1334</v>
      </c>
      <c r="G298" s="1" t="s">
        <v>1335</v>
      </c>
      <c r="N298" s="1" t="str">
        <f ca="1">IFERROR(__xludf.DUMMYFUNCTION("CONCAT(LEFT(REGEXREPLACE(AX298, ""[^A-Za-z0-9]"", """"), 20), TEXT(ROW(AX298)-1, ""000""))"),"HealthcareDataBreach297")</f>
        <v>HealthcareDataBreach297</v>
      </c>
      <c r="T298" s="1" t="s">
        <v>1336</v>
      </c>
      <c r="W298" s="1" t="s">
        <v>57</v>
      </c>
      <c r="Y298" s="1" t="s">
        <v>1337</v>
      </c>
      <c r="AC298" s="1" t="s">
        <v>1338</v>
      </c>
      <c r="AF298" s="1" t="s">
        <v>1339</v>
      </c>
      <c r="AK298" s="1" t="s">
        <v>129</v>
      </c>
      <c r="AM298" s="1">
        <v>2</v>
      </c>
      <c r="AP298" s="1">
        <v>133</v>
      </c>
      <c r="AQ298" s="1" t="s">
        <v>1340</v>
      </c>
      <c r="AR298" s="1">
        <v>32414183</v>
      </c>
      <c r="AW298" s="1" t="s">
        <v>1341</v>
      </c>
      <c r="AX298" s="1" t="s">
        <v>1342</v>
      </c>
      <c r="AZ298" s="2" t="s">
        <v>1343</v>
      </c>
      <c r="BA298" s="3">
        <v>45796</v>
      </c>
      <c r="BB298" s="1">
        <v>8</v>
      </c>
      <c r="BC298" s="1">
        <v>2020</v>
      </c>
    </row>
    <row r="299" spans="1:55" ht="13" x14ac:dyDescent="0.15">
      <c r="G299" s="1" t="s">
        <v>1344</v>
      </c>
      <c r="N299" s="1" t="str">
        <f ca="1">IFERROR(__xludf.DUMMYFUNCTION("CONCAT(LEFT(REGEXREPLACE(AX299, ""[^A-Za-z0-9]"", """"), 20), TEXT(ROW(AX299)-1, ""000""))"),"HierarchicalAggregat298")</f>
        <v>HierarchicalAggregat298</v>
      </c>
      <c r="W299" s="1" t="s">
        <v>57</v>
      </c>
      <c r="AF299" s="1" t="s">
        <v>1345</v>
      </c>
      <c r="AM299" s="1">
        <v>3</v>
      </c>
      <c r="AP299" s="1" t="s">
        <v>1346</v>
      </c>
      <c r="AT299" s="1" t="s">
        <v>750</v>
      </c>
      <c r="AX299" s="1" t="s">
        <v>1347</v>
      </c>
      <c r="AZ299" s="2" t="s">
        <v>1348</v>
      </c>
      <c r="BB299" s="1">
        <v>16</v>
      </c>
      <c r="BC299" s="1">
        <v>2009</v>
      </c>
    </row>
    <row r="300" spans="1:55" ht="13" x14ac:dyDescent="0.15">
      <c r="G300" s="1" t="s">
        <v>1349</v>
      </c>
      <c r="N300" s="1" t="str">
        <f ca="1">IFERROR(__xludf.DUMMYFUNCTION("CONCAT(LEFT(REGEXREPLACE(AX300, ""[^A-Za-z0-9]"", """"), 20), TEXT(ROW(AX300)-1, ""000""))"),"HierarchicalGraphRep299")</f>
        <v>HierarchicalGraphRep299</v>
      </c>
      <c r="W300" s="1" t="s">
        <v>57</v>
      </c>
      <c r="AF300" s="1" t="s">
        <v>447</v>
      </c>
      <c r="AX300" s="1" t="s">
        <v>1350</v>
      </c>
      <c r="AZ300" s="2" t="s">
        <v>1351</v>
      </c>
      <c r="BB300" s="1">
        <v>31</v>
      </c>
      <c r="BC300" s="1">
        <v>2018</v>
      </c>
    </row>
    <row r="301" spans="1:55" ht="13" x14ac:dyDescent="0.15">
      <c r="G301" s="1" t="s">
        <v>1352</v>
      </c>
      <c r="M301" s="1" t="s">
        <v>1353</v>
      </c>
      <c r="N301" s="1" t="str">
        <f ca="1">IFERROR(__xludf.DUMMYFUNCTION("CONCAT(LEFT(REGEXREPLACE(AX301, ""[^A-Za-z0-9]"", """"), 20), TEXT(ROW(AX301)-1, ""000""))"),"HOGWILDALockfreeAppr300")</f>
        <v>HOGWILDALockfreeAppr300</v>
      </c>
      <c r="W301" s="1" t="s">
        <v>64</v>
      </c>
      <c r="AL301" s="1" t="s">
        <v>1354</v>
      </c>
      <c r="AP301" s="1" t="s">
        <v>1355</v>
      </c>
      <c r="AX301" s="1" t="s">
        <v>1356</v>
      </c>
      <c r="BC301" s="1">
        <v>2011</v>
      </c>
    </row>
    <row r="302" spans="1:55" ht="13" x14ac:dyDescent="0.15">
      <c r="G302" s="1" t="s">
        <v>1357</v>
      </c>
      <c r="N302" s="1" t="str">
        <f ca="1">IFERROR(__xludf.DUMMYFUNCTION("CONCAT(LEFT(REGEXREPLACE(AX302, ""[^A-Za-z0-9]"", """"), 20), TEXT(ROW(AX302)-1, ""000""))"),"HolisticEvaluationof301")</f>
        <v>HolisticEvaluationof301</v>
      </c>
      <c r="W302" s="1" t="s">
        <v>57</v>
      </c>
      <c r="AF302" s="1" t="s">
        <v>1358</v>
      </c>
      <c r="AM302" s="1">
        <v>1</v>
      </c>
      <c r="AP302" s="1" t="s">
        <v>1359</v>
      </c>
      <c r="AT302" s="1" t="s">
        <v>345</v>
      </c>
      <c r="AX302" s="1" t="s">
        <v>1360</v>
      </c>
      <c r="AZ302" s="2" t="s">
        <v>1361</v>
      </c>
      <c r="BB302" s="1">
        <v>1525</v>
      </c>
      <c r="BC302" s="1">
        <v>2023</v>
      </c>
    </row>
    <row r="303" spans="1:55" ht="13" x14ac:dyDescent="0.15">
      <c r="G303" s="1" t="s">
        <v>1362</v>
      </c>
      <c r="N303" s="1" t="str">
        <f ca="1">IFERROR(__xludf.DUMMYFUNCTION("CONCAT(LEFT(REGEXREPLACE(AX303, ""[^A-Za-z0-9]"", """"), 20), TEXT(ROW(AX303)-1, ""000""))"),"HolisticEvaluationof302")</f>
        <v>HolisticEvaluationof302</v>
      </c>
      <c r="W303" s="1" t="s">
        <v>57</v>
      </c>
      <c r="AF303" s="1" t="s">
        <v>1363</v>
      </c>
      <c r="AX303" s="1" t="s">
        <v>1360</v>
      </c>
      <c r="AZ303" t="s">
        <v>2712</v>
      </c>
      <c r="BC303" s="1">
        <v>2023</v>
      </c>
    </row>
    <row r="304" spans="1:55" ht="13" x14ac:dyDescent="0.15">
      <c r="G304" s="1" t="s">
        <v>1364</v>
      </c>
      <c r="M304" s="1" t="s">
        <v>1365</v>
      </c>
      <c r="N304" s="1" t="str">
        <f ca="1">IFERROR(__xludf.DUMMYFUNCTION("CONCAT(LEFT(REGEXREPLACE(AX304, ""[^A-Za-z0-9]"", """"), 20), TEXT(ROW(AX304)-1, ""000""))"),"Howcanwedevelopexpla303")</f>
        <v>Howcanwedevelopexpla303</v>
      </c>
      <c r="W304" s="1" t="s">
        <v>108</v>
      </c>
      <c r="AL304" s="1" t="s">
        <v>1366</v>
      </c>
      <c r="AX304" s="1" t="s">
        <v>1367</v>
      </c>
      <c r="AZ304" t="s">
        <v>2713</v>
      </c>
      <c r="BC304" s="1">
        <v>2022</v>
      </c>
    </row>
    <row r="305" spans="7:55" ht="13" x14ac:dyDescent="0.15">
      <c r="G305" s="1" t="s">
        <v>1368</v>
      </c>
      <c r="N305" s="1" t="str">
        <f ca="1">IFERROR(__xludf.DUMMYFUNCTION("CONCAT(LEFT(REGEXREPLACE(AX305, ""[^A-Za-z0-9]"", """"), 20), TEXT(ROW(AX305)-1, ""000""))"),"HowCanWeFoolLIMEandS304")</f>
        <v>HowCanWeFoolLIMEandS304</v>
      </c>
      <c r="W305" s="1" t="s">
        <v>57</v>
      </c>
      <c r="AF305" s="1" t="s">
        <v>1369</v>
      </c>
      <c r="AL305" s="1" t="s">
        <v>1370</v>
      </c>
      <c r="AX305" s="1" t="s">
        <v>1371</v>
      </c>
      <c r="BC305" s="1">
        <v>2019</v>
      </c>
    </row>
    <row r="306" spans="7:55" ht="13" x14ac:dyDescent="0.15">
      <c r="G306" s="1" t="s">
        <v>1372</v>
      </c>
      <c r="M306" s="1" t="s">
        <v>1373</v>
      </c>
      <c r="N306" s="1" t="str">
        <f ca="1">IFERROR(__xludf.DUMMYFUNCTION("CONCAT(LEFT(REGEXREPLACE(AX306, ""[^A-Za-z0-9]"", """"), 20), TEXT(ROW(AX306)-1, ""000""))"),"Howdosoftwarearchite305")</f>
        <v>Howdosoftwarearchite305</v>
      </c>
      <c r="W306" s="1" t="s">
        <v>108</v>
      </c>
      <c r="AL306" s="1" t="s">
        <v>1374</v>
      </c>
      <c r="AT306" s="1" t="s">
        <v>750</v>
      </c>
      <c r="AX306" s="1" t="s">
        <v>1375</v>
      </c>
      <c r="AZ306" t="s">
        <v>2714</v>
      </c>
      <c r="BC306" s="1">
        <v>2012</v>
      </c>
    </row>
    <row r="307" spans="7:55" ht="13" x14ac:dyDescent="0.15">
      <c r="G307" s="1" t="s">
        <v>1376</v>
      </c>
      <c r="N307" s="1" t="str">
        <f ca="1">IFERROR(__xludf.DUMMYFUNCTION("CONCAT(LEFT(REGEXREPLACE(AX307, ""[^A-Za-z0-9]"", """"), 20), TEXT(ROW(AX307)-1, ""000""))"),"Howsecureiscodegener306")</f>
        <v>Howsecureiscodegener306</v>
      </c>
      <c r="W307" s="1" t="s">
        <v>86</v>
      </c>
      <c r="AL307" s="1" t="s">
        <v>1377</v>
      </c>
      <c r="AX307" s="1" t="s">
        <v>1378</v>
      </c>
      <c r="AZ307" t="s">
        <v>2775</v>
      </c>
      <c r="BC307" s="1">
        <v>2023</v>
      </c>
    </row>
    <row r="308" spans="7:55" ht="13" x14ac:dyDescent="0.15">
      <c r="G308" s="1" t="s">
        <v>1379</v>
      </c>
      <c r="N308" s="1" t="str">
        <f ca="1">IFERROR(__xludf.DUMMYFUNCTION("CONCAT(LEFT(REGEXREPLACE(AX308, ""[^A-Za-z0-9]"", """"), 20), TEXT(ROW(AX308)-1, ""000""))"),"HowtheUSPublicandAIE307")</f>
        <v>HowtheUSPublicandAIE307</v>
      </c>
      <c r="W308" s="1" t="s">
        <v>86</v>
      </c>
      <c r="AF308" s="1" t="s">
        <v>1380</v>
      </c>
      <c r="AH308" s="1" t="s">
        <v>1381</v>
      </c>
      <c r="AK308" s="1" t="s">
        <v>89</v>
      </c>
      <c r="AX308" s="1" t="s">
        <v>1382</v>
      </c>
      <c r="AZ308" s="2" t="s">
        <v>1383</v>
      </c>
      <c r="BC308" s="1">
        <v>2025</v>
      </c>
    </row>
    <row r="309" spans="7:55" ht="13" x14ac:dyDescent="0.15">
      <c r="G309" s="1" t="s">
        <v>1384</v>
      </c>
      <c r="N309" s="1" t="str">
        <f ca="1">IFERROR(__xludf.DUMMYFUNCTION("CONCAT(LEFT(REGEXREPLACE(AX309, ""[^A-Za-z0-9]"", """"), 20), TEXT(ROW(AX309)-1, ""000""))"),"HumanAITeamingStateo308")</f>
        <v>HumanAITeamingStateo308</v>
      </c>
      <c r="W309" s="1" t="s">
        <v>86</v>
      </c>
      <c r="AX309" s="1" t="s">
        <v>1385</v>
      </c>
      <c r="AZ309" s="2" t="s">
        <v>1386</v>
      </c>
      <c r="BC309" s="1">
        <v>2022</v>
      </c>
    </row>
    <row r="310" spans="7:55" ht="13" x14ac:dyDescent="0.15">
      <c r="G310" s="1" t="s">
        <v>1387</v>
      </c>
      <c r="N310" s="1" t="str">
        <f ca="1">IFERROR(__xludf.DUMMYFUNCTION("CONCAT(LEFT(REGEXREPLACE(AX310, ""[^A-Za-z0-9]"", """"), 20), TEXT(ROW(AX310)-1, ""000""))"),"HumanCalibratedAutom309")</f>
        <v>HumanCalibratedAutom309</v>
      </c>
      <c r="W310" s="1" t="s">
        <v>57</v>
      </c>
      <c r="AF310" s="1" t="s">
        <v>1388</v>
      </c>
      <c r="AX310" s="1" t="s">
        <v>1389</v>
      </c>
      <c r="AZ310" s="2" t="s">
        <v>1390</v>
      </c>
      <c r="BC310" s="1">
        <v>2024</v>
      </c>
    </row>
    <row r="311" spans="7:55" ht="13" x14ac:dyDescent="0.15">
      <c r="G311" s="1" t="s">
        <v>1391</v>
      </c>
      <c r="N311" s="1" t="str">
        <f ca="1">IFERROR(__xludf.DUMMYFUNCTION("CONCAT(LEFT(REGEXREPLACE(AX311, ""[^A-Za-z0-9]"", """"), 20), TEXT(ROW(AX311)-1, ""000""))"),"HumanCalibratedAutom310")</f>
        <v>HumanCalibratedAutom310</v>
      </c>
      <c r="W311" s="1" t="s">
        <v>86</v>
      </c>
      <c r="Z311" s="1" t="s">
        <v>1392</v>
      </c>
      <c r="AX311" s="1" t="s">
        <v>1393</v>
      </c>
      <c r="AZ311" t="s">
        <v>2776</v>
      </c>
      <c r="BC311" s="1">
        <v>2024</v>
      </c>
    </row>
    <row r="312" spans="7:55" ht="13" x14ac:dyDescent="0.15">
      <c r="G312" s="1" t="s">
        <v>1394</v>
      </c>
      <c r="M312" s="1" t="s">
        <v>1395</v>
      </c>
      <c r="N312" s="1" t="str">
        <f ca="1">IFERROR(__xludf.DUMMYFUNCTION("CONCAT(LEFT(REGEXREPLACE(AX312, ""[^A-Za-z0-9]"", """"), 20), TEXT(ROW(AX312)-1, ""000""))"),"HumanCentredMachineL311")</f>
        <v>HumanCentredMachineL311</v>
      </c>
      <c r="W312" s="1" t="s">
        <v>64</v>
      </c>
      <c r="AL312" s="1" t="s">
        <v>1396</v>
      </c>
      <c r="AO312" s="1" t="s">
        <v>79</v>
      </c>
      <c r="AP312" s="1" t="s">
        <v>1397</v>
      </c>
      <c r="AX312" s="1" t="s">
        <v>1398</v>
      </c>
      <c r="BC312" s="1">
        <v>2016</v>
      </c>
    </row>
    <row r="313" spans="7:55" ht="13" x14ac:dyDescent="0.15">
      <c r="G313" s="1" t="s">
        <v>1399</v>
      </c>
      <c r="N313" s="1" t="str">
        <f ca="1">IFERROR(__xludf.DUMMYFUNCTION("CONCAT(LEFT(REGEXREPLACE(AX313, ""[^A-Za-z0-9]"", """"), 20), TEXT(ROW(AX313)-1, ""000""))"),"IBMDesignforAI312")</f>
        <v>IBMDesignforAI312</v>
      </c>
      <c r="W313" s="1" t="s">
        <v>86</v>
      </c>
      <c r="Z313" s="1" t="s">
        <v>1400</v>
      </c>
      <c r="AL313" s="1" t="s">
        <v>1401</v>
      </c>
      <c r="AX313" s="1" t="s">
        <v>1402</v>
      </c>
    </row>
    <row r="314" spans="7:55" ht="13" x14ac:dyDescent="0.15">
      <c r="G314" s="1" t="s">
        <v>1403</v>
      </c>
      <c r="N314" s="1" t="str">
        <f ca="1">IFERROR(__xludf.DUMMYFUNCTION("CONCAT(LEFT(REGEXREPLACE(AX314, ""[^A-Za-z0-9]"", """"), 20), TEXT(ROW(AX314)-1, ""000""))"),"IdeasonInterpretingm313")</f>
        <v>IdeasonInterpretingm313</v>
      </c>
      <c r="W314" s="1" t="s">
        <v>57</v>
      </c>
      <c r="AF314" s="1" t="s">
        <v>1404</v>
      </c>
      <c r="AX314" s="1" t="s">
        <v>1405</v>
      </c>
      <c r="AZ314" s="2" t="s">
        <v>1406</v>
      </c>
      <c r="BC314" s="1">
        <v>2017</v>
      </c>
    </row>
    <row r="315" spans="7:55" ht="13" x14ac:dyDescent="0.15">
      <c r="G315" s="1" t="s">
        <v>1407</v>
      </c>
      <c r="N315" s="1" t="str">
        <f ca="1">IFERROR(__xludf.DUMMYFUNCTION("CONCAT(LEFT(REGEXREPLACE(AX315, ""[^A-Za-z0-9]"", """"), 20), TEXT(ROW(AX315)-1, ""000""))"),"IdentifyingandElimin314")</f>
        <v>IdentifyingandElimin314</v>
      </c>
      <c r="W315" s="1" t="s">
        <v>86</v>
      </c>
      <c r="Z315" s="1" t="s">
        <v>1408</v>
      </c>
      <c r="AX315" s="1" t="s">
        <v>1409</v>
      </c>
      <c r="BC315" s="1">
        <v>2023</v>
      </c>
    </row>
    <row r="316" spans="7:55" ht="13" x14ac:dyDescent="0.15">
      <c r="G316" s="1" t="s">
        <v>1410</v>
      </c>
      <c r="N316" s="1" t="str">
        <f ca="1">IFERROR(__xludf.DUMMYFUNCTION("CONCAT(LEFT(REGEXREPLACE(AX316, ""[^A-Za-z0-9]"", """"), 20), TEXT(ROW(AX316)-1, ""000""))"),"IdentifyingtheEconom315")</f>
        <v>IdentifyingtheEconom315</v>
      </c>
      <c r="W316" s="1" t="s">
        <v>57</v>
      </c>
      <c r="AF316" s="1" t="s">
        <v>1411</v>
      </c>
      <c r="AX316" s="1" t="s">
        <v>1412</v>
      </c>
      <c r="BC316" s="1">
        <v>2025</v>
      </c>
    </row>
    <row r="317" spans="7:55" ht="13" x14ac:dyDescent="0.15">
      <c r="N317" s="1" t="str">
        <f ca="1">IFERROR(__xludf.DUMMYFUNCTION("CONCAT(LEFT(REGEXREPLACE(AX317, ""[^A-Za-z0-9]"", """"), 20), TEXT(ROW(AX317)-1, ""000""))"),"IEEEStandardforSyste316")</f>
        <v>IEEEStandardforSyste316</v>
      </c>
      <c r="W317" s="1" t="s">
        <v>1413</v>
      </c>
      <c r="AM317" s="1" t="s">
        <v>1414</v>
      </c>
      <c r="AO317" s="1" t="s">
        <v>1415</v>
      </c>
      <c r="AT317" s="1" t="s">
        <v>750</v>
      </c>
      <c r="AX317" s="1" t="s">
        <v>1416</v>
      </c>
      <c r="AZ317" t="s">
        <v>2715</v>
      </c>
      <c r="BC317" s="1">
        <v>2025</v>
      </c>
    </row>
    <row r="318" spans="7:55" ht="13" x14ac:dyDescent="0.15">
      <c r="G318" s="1" t="s">
        <v>1417</v>
      </c>
      <c r="L318" s="2" t="s">
        <v>1418</v>
      </c>
      <c r="M318" s="1" t="s">
        <v>1419</v>
      </c>
      <c r="N318" s="1" t="str">
        <f ca="1">IFERROR(__xludf.DUMMYFUNCTION("CONCAT(LEFT(REGEXREPLACE(AX318, ""[^A-Za-z0-9]"", """"), 20), TEXT(ROW(AX318)-1, ""000""))"),"ImageNetClassificati317")</f>
        <v>ImageNetClassificati317</v>
      </c>
      <c r="V318" s="1" t="s">
        <v>1420</v>
      </c>
      <c r="W318" s="1" t="s">
        <v>108</v>
      </c>
      <c r="AP318" s="1" t="s">
        <v>1421</v>
      </c>
      <c r="AX318" s="1" t="s">
        <v>1422</v>
      </c>
      <c r="AZ318" s="2" t="s">
        <v>1418</v>
      </c>
      <c r="BC318" s="1">
        <v>2012</v>
      </c>
    </row>
    <row r="319" spans="7:55" ht="13" x14ac:dyDescent="0.15">
      <c r="G319" s="1" t="s">
        <v>1423</v>
      </c>
      <c r="N319" s="1" t="str">
        <f ca="1">IFERROR(__xludf.DUMMYFUNCTION("CONCAT(LEFT(REGEXREPLACE(AX319, ""[^A-Za-z0-9]"", """"), 20), TEXT(ROW(AX319)-1, ""000""))"),"ImageNetLargeScaleVi318")</f>
        <v>ImageNetLargeScaleVi318</v>
      </c>
      <c r="T319" s="1" t="s">
        <v>1424</v>
      </c>
      <c r="W319" s="1" t="s">
        <v>57</v>
      </c>
      <c r="AF319" s="1" t="s">
        <v>1425</v>
      </c>
      <c r="AM319" s="1">
        <v>3</v>
      </c>
      <c r="AP319" s="1" t="s">
        <v>1426</v>
      </c>
      <c r="AX319" s="1" t="s">
        <v>1427</v>
      </c>
      <c r="BB319" s="1">
        <v>115</v>
      </c>
      <c r="BC319" s="1">
        <v>2015</v>
      </c>
    </row>
    <row r="320" spans="7:55" ht="13" x14ac:dyDescent="0.15">
      <c r="G320" s="1" t="s">
        <v>1428</v>
      </c>
      <c r="M320" s="1" t="s">
        <v>1429</v>
      </c>
      <c r="N320" s="1" t="str">
        <f ca="1">IFERROR(__xludf.DUMMYFUNCTION("CONCAT(LEFT(REGEXREPLACE(AX320, ""[^A-Za-z0-9]"", """"), 20), TEXT(ROW(AX320)-1, ""000""))"),"ImagenetAlargescaleh319")</f>
        <v>ImagenetAlargescaleh319</v>
      </c>
      <c r="W320" s="1" t="s">
        <v>64</v>
      </c>
      <c r="AO320" s="1" t="s">
        <v>750</v>
      </c>
      <c r="AP320" s="1" t="s">
        <v>1430</v>
      </c>
      <c r="AX320" s="1" t="s">
        <v>1431</v>
      </c>
      <c r="AZ320" s="2" t="s">
        <v>1432</v>
      </c>
      <c r="BC320" s="1">
        <v>2009</v>
      </c>
    </row>
    <row r="321" spans="7:55" ht="13" x14ac:dyDescent="0.15">
      <c r="G321" s="1" t="s">
        <v>1433</v>
      </c>
      <c r="N321" s="1" t="str">
        <f ca="1">IFERROR(__xludf.DUMMYFUNCTION("CONCAT(LEFT(REGEXREPLACE(AX321, ""[^A-Za-z0-9]"", """"), 20), TEXT(ROW(AX321)-1, ""000""))"),"ImplementingAIBillof320")</f>
        <v>ImplementingAIBillof320</v>
      </c>
      <c r="W321" s="1" t="s">
        <v>57</v>
      </c>
      <c r="AF321" s="1" t="s">
        <v>1434</v>
      </c>
      <c r="AX321" s="1" t="s">
        <v>1435</v>
      </c>
      <c r="AZ321" s="2" t="s">
        <v>1436</v>
      </c>
      <c r="BC321" s="1">
        <v>2025</v>
      </c>
    </row>
    <row r="322" spans="7:55" ht="13" x14ac:dyDescent="0.15">
      <c r="G322" s="1" t="s">
        <v>1437</v>
      </c>
      <c r="N322" s="1" t="str">
        <f ca="1">IFERROR(__xludf.DUMMYFUNCTION("CONCAT(LEFT(REGEXREPLACE(AX322, ""[^A-Za-z0-9]"", """"), 20), TEXT(ROW(AX322)-1, ""000""))"),"Improvingneuralnetwo321")</f>
        <v>Improvingneuralnetwo321</v>
      </c>
      <c r="W322" s="1" t="s">
        <v>57</v>
      </c>
      <c r="AX322" s="1" t="s">
        <v>1438</v>
      </c>
      <c r="AZ322" s="2" t="s">
        <v>1439</v>
      </c>
      <c r="BC322" s="1">
        <v>2012</v>
      </c>
    </row>
    <row r="323" spans="7:55" ht="13" x14ac:dyDescent="0.15">
      <c r="G323" s="1" t="s">
        <v>1440</v>
      </c>
      <c r="N323" s="1" t="str">
        <f ca="1">IFERROR(__xludf.DUMMYFUNCTION("CONCAT(LEFT(REGEXREPLACE(AX323, ""[^A-Za-z0-9]"", """"), 20), TEXT(ROW(AX323)-1, ""000""))"),"ImprovingReproducibi322")</f>
        <v>ImprovingReproducibi322</v>
      </c>
      <c r="W323" s="1" t="s">
        <v>57</v>
      </c>
      <c r="AF323" s="1" t="s">
        <v>310</v>
      </c>
      <c r="AM323" s="1">
        <v>164</v>
      </c>
      <c r="AP323" s="1" t="s">
        <v>1441</v>
      </c>
      <c r="AX323" s="1" t="s">
        <v>1442</v>
      </c>
      <c r="AZ323" s="2" t="s">
        <v>1443</v>
      </c>
      <c r="BB323" s="1">
        <v>22</v>
      </c>
      <c r="BC323" s="1">
        <v>2021</v>
      </c>
    </row>
    <row r="324" spans="7:55" ht="13" x14ac:dyDescent="0.15">
      <c r="G324" s="1" t="s">
        <v>1444</v>
      </c>
      <c r="N324" s="1" t="str">
        <f ca="1">IFERROR(__xludf.DUMMYFUNCTION("CONCAT(LEFT(REGEXREPLACE(AX324, ""[^A-Za-z0-9]"", """"), 20), TEXT(ROW(AX324)-1, ""000""))"),"Incentivesandtherepl323")</f>
        <v>Incentivesandtherepl323</v>
      </c>
      <c r="T324" s="2" t="s">
        <v>1445</v>
      </c>
      <c r="W324" s="1" t="s">
        <v>57</v>
      </c>
      <c r="AC324" s="1" t="s">
        <v>1446</v>
      </c>
      <c r="AF324" s="1" t="s">
        <v>1447</v>
      </c>
      <c r="AP324" s="1">
        <v>102327</v>
      </c>
      <c r="AX324" s="1" t="s">
        <v>1448</v>
      </c>
      <c r="AZ324" s="2" t="s">
        <v>1449</v>
      </c>
      <c r="BB324" s="1">
        <v>114</v>
      </c>
      <c r="BC324" s="1">
        <v>2025</v>
      </c>
    </row>
    <row r="325" spans="7:55" ht="13" x14ac:dyDescent="0.15">
      <c r="G325" s="1" t="s">
        <v>1450</v>
      </c>
      <c r="M325" s="1" t="s">
        <v>1451</v>
      </c>
      <c r="N325" s="1" t="str">
        <f ca="1">IFERROR(__xludf.DUMMYFUNCTION("CONCAT(LEFT(REGEXREPLACE(AX325, ""[^A-Za-z0-9]"", """"), 20), TEXT(ROW(AX325)-1, ""000""))"),"InherentTradeOffsint324")</f>
        <v>InherentTradeOffsint324</v>
      </c>
      <c r="W325" s="1" t="s">
        <v>57</v>
      </c>
      <c r="AO325" s="1" t="s">
        <v>1452</v>
      </c>
      <c r="AP325" s="1" t="s">
        <v>1453</v>
      </c>
      <c r="AX325" s="1" t="s">
        <v>1454</v>
      </c>
      <c r="AZ325" t="s">
        <v>2716</v>
      </c>
      <c r="BC325" s="1">
        <v>2017</v>
      </c>
    </row>
    <row r="326" spans="7:55" ht="13" x14ac:dyDescent="0.15">
      <c r="G326" s="1" t="s">
        <v>1455</v>
      </c>
      <c r="N326" s="1" t="str">
        <f ca="1">IFERROR(__xludf.DUMMYFUNCTION("CONCAT(LEFT(REGEXREPLACE(AX326, ""[^A-Za-z0-9]"", """"), 20), TEXT(ROW(AX326)-1, ""000""))"),"InnovationSpotlightP325")</f>
        <v>InnovationSpotlightP325</v>
      </c>
      <c r="S326" s="1">
        <v>7</v>
      </c>
      <c r="W326" s="1" t="s">
        <v>57</v>
      </c>
      <c r="AF326" s="1" t="s">
        <v>1456</v>
      </c>
      <c r="AK326" s="1" t="s">
        <v>719</v>
      </c>
      <c r="AX326" s="1" t="s">
        <v>1457</v>
      </c>
      <c r="AZ326" s="2" t="s">
        <v>1458</v>
      </c>
      <c r="BC326" s="1">
        <v>2020</v>
      </c>
    </row>
    <row r="327" spans="7:55" ht="13" x14ac:dyDescent="0.15">
      <c r="G327" s="1" t="s">
        <v>1459</v>
      </c>
      <c r="N327" s="1" t="str">
        <f ca="1">IFERROR(__xludf.DUMMYFUNCTION("CONCAT(LEFT(REGEXREPLACE(AX327, ""[^A-Za-z0-9]"", """"), 20), TEXT(ROW(AX327)-1, ""000""))"),"Interannotatoragreem326")</f>
        <v>Interannotatoragreem326</v>
      </c>
      <c r="W327" s="1" t="s">
        <v>57</v>
      </c>
      <c r="AF327" s="1" t="s">
        <v>1460</v>
      </c>
      <c r="AM327" s="1">
        <v>3</v>
      </c>
      <c r="AP327" s="1" t="s">
        <v>1461</v>
      </c>
      <c r="AT327" s="1" t="s">
        <v>146</v>
      </c>
      <c r="AX327" s="1" t="s">
        <v>1462</v>
      </c>
      <c r="AZ327" t="s">
        <v>2777</v>
      </c>
      <c r="BB327" s="1">
        <v>16</v>
      </c>
      <c r="BC327" s="1">
        <v>2022</v>
      </c>
    </row>
    <row r="328" spans="7:55" ht="13" x14ac:dyDescent="0.15">
      <c r="G328" s="1" t="s">
        <v>1463</v>
      </c>
      <c r="N328" s="1" t="str">
        <f ca="1">IFERROR(__xludf.DUMMYFUNCTION("CONCAT(LEFT(REGEXREPLACE(AX328, ""[^A-Za-z0-9]"", """"), 20), TEXT(ROW(AX328)-1, ""000""))"),"Interraterreliabilit327")</f>
        <v>Interraterreliabilit327</v>
      </c>
      <c r="W328" s="1" t="s">
        <v>57</v>
      </c>
      <c r="AF328" s="1" t="s">
        <v>1464</v>
      </c>
      <c r="AX328" s="1" t="s">
        <v>1465</v>
      </c>
      <c r="AZ328" s="2" t="s">
        <v>1466</v>
      </c>
      <c r="BB328" s="1">
        <v>2</v>
      </c>
      <c r="BC328" s="1">
        <v>2002</v>
      </c>
    </row>
    <row r="329" spans="7:55" ht="13" x14ac:dyDescent="0.15">
      <c r="G329" s="1" t="s">
        <v>1467</v>
      </c>
      <c r="N329" s="1" t="str">
        <f ca="1">IFERROR(__xludf.DUMMYFUNCTION("CONCAT(LEFT(REGEXREPLACE(AX329, ""[^A-Za-z0-9]"", """"), 20), TEXT(ROW(AX329)-1, ""000""))"),"Interpretability328")</f>
        <v>Interpretability328</v>
      </c>
      <c r="W329" s="1" t="s">
        <v>69</v>
      </c>
      <c r="AL329" s="1" t="s">
        <v>1468</v>
      </c>
      <c r="AT329" s="1" t="s">
        <v>1469</v>
      </c>
      <c r="AX329" s="1" t="s">
        <v>1470</v>
      </c>
      <c r="BC329" s="1">
        <v>2017</v>
      </c>
    </row>
    <row r="330" spans="7:55" ht="13" x14ac:dyDescent="0.15">
      <c r="G330" s="1" t="s">
        <v>1471</v>
      </c>
      <c r="N330" s="1" t="str">
        <f ca="1">IFERROR(__xludf.DUMMYFUNCTION("CONCAT(LEFT(REGEXREPLACE(AX330, ""[^A-Za-z0-9]"", """"), 20), TEXT(ROW(AX330)-1, ""000""))"),"InterpretableMachine329")</f>
        <v>InterpretableMachine329</v>
      </c>
      <c r="W330" s="1" t="s">
        <v>69</v>
      </c>
      <c r="AL330" s="1" t="s">
        <v>1472</v>
      </c>
      <c r="AT330" s="2" t="s">
        <v>1473</v>
      </c>
      <c r="AX330" s="1" t="s">
        <v>1474</v>
      </c>
    </row>
    <row r="331" spans="7:55" ht="13" x14ac:dyDescent="0.15">
      <c r="G331" s="1" t="s">
        <v>1475</v>
      </c>
      <c r="N331" s="1" t="str">
        <f ca="1">IFERROR(__xludf.DUMMYFUNCTION("CONCAT(LEFT(REGEXREPLACE(AX331, ""[^A-Za-z0-9]"", """"), 20), TEXT(ROW(AX331)-1, ""000""))"),"InterpretableMachine330")</f>
        <v>InterpretableMachine330</v>
      </c>
      <c r="W331" s="1" t="s">
        <v>57</v>
      </c>
      <c r="AF331" s="1" t="s">
        <v>1476</v>
      </c>
      <c r="AL331" s="1" t="s">
        <v>1477</v>
      </c>
      <c r="AX331" s="1" t="s">
        <v>1478</v>
      </c>
      <c r="BC331" s="1">
        <v>2019</v>
      </c>
    </row>
    <row r="332" spans="7:55" ht="13" x14ac:dyDescent="0.15">
      <c r="G332" s="1" t="s">
        <v>1479</v>
      </c>
      <c r="N332" s="1" t="str">
        <f ca="1">IFERROR(__xludf.DUMMYFUNCTION("CONCAT(LEFT(REGEXREPLACE(AX332, ""[^A-Za-z0-9]"", """"), 20), TEXT(ROW(AX332)-1, ""000""))"),"InterpretabletoWhomA331")</f>
        <v>InterpretabletoWhomA331</v>
      </c>
      <c r="W332" s="1" t="s">
        <v>57</v>
      </c>
      <c r="AF332" s="1" t="s">
        <v>1480</v>
      </c>
      <c r="AL332" s="1" t="s">
        <v>1481</v>
      </c>
      <c r="AX332" s="1" t="s">
        <v>1482</v>
      </c>
      <c r="BC332" s="1">
        <v>2018</v>
      </c>
    </row>
    <row r="333" spans="7:55" ht="13" x14ac:dyDescent="0.15">
      <c r="G333" s="1" t="s">
        <v>1483</v>
      </c>
      <c r="N333" s="1" t="str">
        <f ca="1">IFERROR(__xludf.DUMMYFUNCTION("CONCAT(LEFT(REGEXREPLACE(AX333, ""[^A-Za-z0-9]"", """"), 20), TEXT(ROW(AX333)-1, ""000""))"),"Interpretingblackbox332")</f>
        <v>Interpretingblackbox332</v>
      </c>
      <c r="W333" s="1" t="s">
        <v>57</v>
      </c>
      <c r="AF333" s="1" t="s">
        <v>1484</v>
      </c>
      <c r="AX333" s="1" t="s">
        <v>1485</v>
      </c>
      <c r="AZ333" s="2" t="s">
        <v>1486</v>
      </c>
      <c r="BC333" s="1">
        <v>2017</v>
      </c>
    </row>
    <row r="334" spans="7:55" ht="13" x14ac:dyDescent="0.15">
      <c r="G334" s="1" t="s">
        <v>1487</v>
      </c>
      <c r="M334" s="1" t="s">
        <v>1488</v>
      </c>
      <c r="N334" s="1" t="str">
        <f ca="1">IFERROR(__xludf.DUMMYFUNCTION("CONCAT(LEFT(REGEXREPLACE(AX334, ""[^A-Za-z0-9]"", """"), 20), TEXT(ROW(AX334)-1, ""000""))"),"InterpretingtheRepea333")</f>
        <v>InterpretingtheRepea333</v>
      </c>
      <c r="W334" s="1" t="s">
        <v>108</v>
      </c>
      <c r="AX334" s="1" t="s">
        <v>1489</v>
      </c>
      <c r="AZ334" t="s">
        <v>2778</v>
      </c>
      <c r="BC334" s="1">
        <v>2025</v>
      </c>
    </row>
    <row r="335" spans="7:55" ht="13" x14ac:dyDescent="0.15">
      <c r="G335" s="1" t="s">
        <v>1490</v>
      </c>
      <c r="N335" s="1" t="str">
        <f ca="1">IFERROR(__xludf.DUMMYFUNCTION("CONCAT(LEFT(REGEXREPLACE(AX335, ""[^A-Za-z0-9]"", """"), 20), TEXT(ROW(AX335)-1, ""000""))"),"Interraterreliabilit334")</f>
        <v>Interraterreliabilit334</v>
      </c>
      <c r="W335" s="1" t="s">
        <v>57</v>
      </c>
      <c r="AF335" s="1" t="s">
        <v>1491</v>
      </c>
      <c r="AM335" s="1">
        <v>3</v>
      </c>
      <c r="AP335" s="1" t="s">
        <v>1492</v>
      </c>
      <c r="AX335" s="1" t="s">
        <v>1493</v>
      </c>
      <c r="AZ335" s="2" t="s">
        <v>1494</v>
      </c>
      <c r="BB335" s="1">
        <v>22</v>
      </c>
      <c r="BC335" s="1">
        <v>2012</v>
      </c>
    </row>
    <row r="336" spans="7:55" ht="13" x14ac:dyDescent="0.15">
      <c r="G336" s="1" t="s">
        <v>1495</v>
      </c>
      <c r="N336" s="1" t="str">
        <f ca="1">IFERROR(__xludf.DUMMYFUNCTION("CONCAT(LEFT(REGEXREPLACE(AX336, ""[^A-Za-z0-9]"", """"), 20), TEXT(ROW(AX336)-1, ""000""))"),"Intraclasscorrelatio335")</f>
        <v>Intraclasscorrelatio335</v>
      </c>
      <c r="W336" s="1" t="s">
        <v>57</v>
      </c>
      <c r="AF336" s="1" t="s">
        <v>1496</v>
      </c>
      <c r="AM336" s="1">
        <v>7</v>
      </c>
      <c r="AP336" s="1" t="s">
        <v>1497</v>
      </c>
      <c r="AT336" s="1" t="s">
        <v>1498</v>
      </c>
      <c r="AX336" s="1" t="s">
        <v>1499</v>
      </c>
      <c r="AZ336" s="2" t="s">
        <v>1500</v>
      </c>
      <c r="BB336" s="1">
        <v>14</v>
      </c>
      <c r="BC336" s="1">
        <v>2019</v>
      </c>
    </row>
    <row r="337" spans="5:55" ht="13" x14ac:dyDescent="0.15">
      <c r="G337" s="1" t="s">
        <v>1501</v>
      </c>
      <c r="N337" s="1" t="str">
        <f ca="1">IFERROR(__xludf.DUMMYFUNCTION("CONCAT(LEFT(REGEXREPLACE(AX337, ""[^A-Za-z0-9]"", """"), 20), TEXT(ROW(AX337)-1, ""000""))"),"IntriguingProperties336")</f>
        <v>IntriguingProperties336</v>
      </c>
      <c r="W337" s="1" t="s">
        <v>57</v>
      </c>
      <c r="AF337" s="1" t="s">
        <v>1502</v>
      </c>
      <c r="AL337" s="1" t="s">
        <v>1503</v>
      </c>
      <c r="AX337" s="1" t="s">
        <v>1504</v>
      </c>
      <c r="BC337" s="1">
        <v>2013</v>
      </c>
    </row>
    <row r="338" spans="5:55" ht="13" x14ac:dyDescent="0.15">
      <c r="G338" s="1" t="s">
        <v>1505</v>
      </c>
      <c r="N338" s="1" t="str">
        <f ca="1">IFERROR(__xludf.DUMMYFUNCTION("CONCAT(LEFT(REGEXREPLACE(AX338, ""[^A-Za-z0-9]"", """"), 20), TEXT(ROW(AX338)-1, ""000""))"),"IntroducingTwittersF337")</f>
        <v>IntroducingTwittersF337</v>
      </c>
      <c r="W338" s="1" t="s">
        <v>86</v>
      </c>
      <c r="Z338" s="1" t="s">
        <v>1506</v>
      </c>
      <c r="AX338" s="1" t="s">
        <v>1507</v>
      </c>
      <c r="BC338" s="1">
        <v>2021</v>
      </c>
    </row>
    <row r="339" spans="5:55" ht="13" x14ac:dyDescent="0.15">
      <c r="G339" s="1" t="s">
        <v>1508</v>
      </c>
      <c r="N339" s="1" t="str">
        <f ca="1">IFERROR(__xludf.DUMMYFUNCTION("CONCAT(LEFT(REGEXREPLACE(AX339, ""[^A-Za-z0-9]"", """"), 20), TEXT(ROW(AX339)-1, ""000""))"),"InvestigatingRiskUnc338")</f>
        <v>InvestigatingRiskUnc338</v>
      </c>
      <c r="W339" s="1" t="s">
        <v>57</v>
      </c>
      <c r="AF339" s="1" t="s">
        <v>1509</v>
      </c>
      <c r="AP339" s="1" t="s">
        <v>1510</v>
      </c>
      <c r="AT339" s="1" t="s">
        <v>193</v>
      </c>
      <c r="AX339" s="1" t="s">
        <v>1511</v>
      </c>
      <c r="AZ339" t="s">
        <v>2779</v>
      </c>
      <c r="BC339" s="1">
        <v>2019</v>
      </c>
    </row>
    <row r="340" spans="5:55" ht="13" x14ac:dyDescent="0.15">
      <c r="G340" s="1" t="s">
        <v>1512</v>
      </c>
      <c r="N340" s="1" t="str">
        <f ca="1">IFERROR(__xludf.DUMMYFUNCTION("CONCAT(LEFT(REGEXREPLACE(AX340, ""[^A-Za-z0-9]"", """"), 20), TEXT(ROW(AX340)-1, ""000""))"),"Isriskanalysisscient339")</f>
        <v>Isriskanalysisscient339</v>
      </c>
      <c r="W340" s="1" t="s">
        <v>57</v>
      </c>
      <c r="AF340" s="1" t="s">
        <v>1513</v>
      </c>
      <c r="AM340" s="1">
        <v>7</v>
      </c>
      <c r="AP340" s="1" t="s">
        <v>1514</v>
      </c>
      <c r="AT340" s="1" t="s">
        <v>345</v>
      </c>
      <c r="AX340" s="1" t="s">
        <v>1515</v>
      </c>
      <c r="AZ340" t="s">
        <v>2780</v>
      </c>
      <c r="BB340" s="1">
        <v>34</v>
      </c>
      <c r="BC340" s="1">
        <v>2014</v>
      </c>
    </row>
    <row r="341" spans="5:55" ht="13" x14ac:dyDescent="0.15">
      <c r="G341" s="1" t="s">
        <v>932</v>
      </c>
      <c r="N341" s="1" t="str">
        <f ca="1">IFERROR(__xludf.DUMMYFUNCTION("CONCAT(LEFT(REGEXREPLACE(AX341, ""[^A-Za-z0-9]"", """"), 20), TEXT(ROW(AX341)-1, ""000""))"),"ISO353412006Statisti340")</f>
        <v>ISO353412006Statisti340</v>
      </c>
      <c r="W341" s="1" t="s">
        <v>86</v>
      </c>
      <c r="AA341" s="1" t="s">
        <v>1516</v>
      </c>
      <c r="AX341" s="1" t="s">
        <v>1517</v>
      </c>
      <c r="AZ341" s="2" t="s">
        <v>1518</v>
      </c>
      <c r="BC341" s="1">
        <v>2006</v>
      </c>
    </row>
    <row r="342" spans="5:55" ht="13" x14ac:dyDescent="0.15">
      <c r="G342" s="1" t="s">
        <v>932</v>
      </c>
      <c r="N342" s="1" t="str">
        <f ca="1">IFERROR(__xludf.DUMMYFUNCTION("CONCAT(LEFT(REGEXREPLACE(AX342, ""[^A-Za-z0-9]"", """"), 20), TEXT(ROW(AX342)-1, ""000""))"),"ISOIEC420012023Artif341")</f>
        <v>ISOIEC420012023Artif341</v>
      </c>
      <c r="W342" s="1" t="s">
        <v>86</v>
      </c>
      <c r="AA342" s="1" t="s">
        <v>1516</v>
      </c>
      <c r="AX342" s="1" t="s">
        <v>1519</v>
      </c>
      <c r="AZ342" s="2" t="s">
        <v>1520</v>
      </c>
      <c r="BC342" s="1">
        <v>2023</v>
      </c>
    </row>
    <row r="343" spans="5:55" ht="13" x14ac:dyDescent="0.15">
      <c r="G343" s="1" t="s">
        <v>932</v>
      </c>
      <c r="N343" s="1" t="str">
        <f ca="1">IFERROR(__xludf.DUMMYFUNCTION("CONCAT(LEFT(REGEXREPLACE(AX343, ""[^A-Za-z0-9]"", """"), 20), TEXT(ROW(AX343)-1, ""000""))"),"ISOIEC420052025Infor342")</f>
        <v>ISOIEC420052025Infor342</v>
      </c>
      <c r="W343" s="1" t="s">
        <v>86</v>
      </c>
      <c r="AA343" s="1" t="s">
        <v>1516</v>
      </c>
      <c r="AX343" s="1" t="s">
        <v>1521</v>
      </c>
      <c r="AZ343" s="2" t="s">
        <v>1522</v>
      </c>
      <c r="BC343" s="1">
        <v>2025</v>
      </c>
    </row>
    <row r="344" spans="5:55" ht="13" x14ac:dyDescent="0.15">
      <c r="G344" s="1" t="s">
        <v>1523</v>
      </c>
      <c r="N344" s="1" t="str">
        <f ca="1">IFERROR(__xludf.DUMMYFUNCTION("CONCAT(LEFT(REGEXREPLACE(AX344, ""[^A-Za-z0-9]"", """"), 20), TEXT(ROW(AX344)-1, ""000""))"),"IsoprenoidBiosynthes343")</f>
        <v>IsoprenoidBiosynthes343</v>
      </c>
      <c r="W344" s="1" t="s">
        <v>57</v>
      </c>
      <c r="AF344" s="1" t="s">
        <v>1524</v>
      </c>
      <c r="AL344" s="1" t="s">
        <v>1525</v>
      </c>
      <c r="AM344" s="1">
        <v>25</v>
      </c>
      <c r="AP344" s="1" t="s">
        <v>1526</v>
      </c>
      <c r="AT344" s="1" t="s">
        <v>1527</v>
      </c>
      <c r="AX344" s="1" t="s">
        <v>1528</v>
      </c>
      <c r="BB344" s="1">
        <v>49</v>
      </c>
      <c r="BC344" s="1">
        <v>2006</v>
      </c>
    </row>
    <row r="345" spans="5:55" ht="13" x14ac:dyDescent="0.15">
      <c r="G345" s="1" t="s">
        <v>1529</v>
      </c>
      <c r="N345" s="1" t="str">
        <f ca="1">IFERROR(__xludf.DUMMYFUNCTION("CONCAT(LEFT(REGEXREPLACE(AX345, ""[^A-Za-z0-9]"", """"), 20), TEXT(ROW(AX345)-1, ""000""))"),"IssueBenchMillionsof344")</f>
        <v>IssueBenchMillionsof344</v>
      </c>
      <c r="W345" s="1" t="s">
        <v>57</v>
      </c>
      <c r="AF345" s="1" t="s">
        <v>705</v>
      </c>
      <c r="AP345" s="1" t="s">
        <v>1530</v>
      </c>
      <c r="AT345" s="1" t="s">
        <v>1060</v>
      </c>
      <c r="AX345" s="1" t="s">
        <v>1531</v>
      </c>
      <c r="AZ345" s="2" t="s">
        <v>1532</v>
      </c>
      <c r="BB345" s="1">
        <v>14</v>
      </c>
      <c r="BC345" s="1">
        <v>2026</v>
      </c>
    </row>
    <row r="346" spans="5:55" ht="13" x14ac:dyDescent="0.15">
      <c r="G346" s="1" t="s">
        <v>1533</v>
      </c>
      <c r="N346" s="1" t="str">
        <f ca="1">IFERROR(__xludf.DUMMYFUNCTION("CONCAT(LEFT(REGEXREPLACE(AX346, ""[^A-Za-z0-9]"", """"), 20), TEXT(ROW(AX346)-1, ""000""))"),"Iterativeparticipato345")</f>
        <v>Iterativeparticipato345</v>
      </c>
      <c r="W346" s="1" t="s">
        <v>57</v>
      </c>
      <c r="AF346" s="1" t="s">
        <v>1534</v>
      </c>
      <c r="AL346" s="1" t="s">
        <v>1535</v>
      </c>
      <c r="AT346" s="1" t="s">
        <v>668</v>
      </c>
      <c r="AX346" s="1" t="s">
        <v>1536</v>
      </c>
      <c r="AZ346" t="s">
        <v>2781</v>
      </c>
      <c r="BC346" s="1">
        <v>2010</v>
      </c>
    </row>
    <row r="347" spans="5:55" ht="13" x14ac:dyDescent="0.15">
      <c r="E347" s="1" t="s">
        <v>91</v>
      </c>
      <c r="G347" s="1" t="s">
        <v>1537</v>
      </c>
      <c r="N347" s="1" t="str">
        <f ca="1">IFERROR(__xludf.DUMMYFUNCTION("CONCAT(LEFT(REGEXREPLACE(AX347, ""[^A-Za-z0-9]"", """"), 20), TEXT(ROW(AX347)-1, ""000""))"),"JailbreakingBlackBox346")</f>
        <v>JailbreakingBlackBox346</v>
      </c>
      <c r="W347" s="1" t="s">
        <v>86</v>
      </c>
      <c r="X347" s="1">
        <v>2310.08419</v>
      </c>
      <c r="AS347" s="1" t="s">
        <v>1538</v>
      </c>
      <c r="AX347" s="1" t="s">
        <v>1539</v>
      </c>
      <c r="AZ347" s="2" t="s">
        <v>1540</v>
      </c>
      <c r="BC347" s="1">
        <v>2024</v>
      </c>
    </row>
    <row r="348" spans="5:55" ht="13" x14ac:dyDescent="0.15">
      <c r="G348" s="1" t="s">
        <v>1541</v>
      </c>
      <c r="N348" s="1" t="str">
        <f ca="1">IFERROR(__xludf.DUMMYFUNCTION("CONCAT(LEFT(REGEXREPLACE(AX348, ""[^A-Za-z0-9]"", """"), 20), TEXT(ROW(AX348)-1, ""000""))"),"JailbrokenHowdoesLLM347")</f>
        <v>JailbrokenHowdoesLLM347</v>
      </c>
      <c r="W348" s="1" t="s">
        <v>57</v>
      </c>
      <c r="AF348" s="1" t="s">
        <v>573</v>
      </c>
      <c r="AP348" s="1" t="s">
        <v>1542</v>
      </c>
      <c r="AX348" s="1" t="s">
        <v>1543</v>
      </c>
      <c r="AZ348" s="2" t="s">
        <v>1544</v>
      </c>
      <c r="BB348" s="1">
        <v>36</v>
      </c>
      <c r="BC348" s="1">
        <v>2023</v>
      </c>
    </row>
    <row r="349" spans="5:55" ht="13" x14ac:dyDescent="0.15">
      <c r="E349" s="1" t="s">
        <v>91</v>
      </c>
      <c r="G349" s="1" t="s">
        <v>1545</v>
      </c>
      <c r="N349" s="1" t="str">
        <f ca="1">IFERROR(__xludf.DUMMYFUNCTION("CONCAT(LEFT(REGEXREPLACE(AX349, ""[^A-Za-z0-9]"", """"), 20), TEXT(ROW(AX349)-1, ""000""))"),"JudgingLLMasaJudgewi348")</f>
        <v>JudgingLLMasaJudgewi348</v>
      </c>
      <c r="W349" s="1" t="s">
        <v>86</v>
      </c>
      <c r="X349" s="1">
        <v>2306.0568499999999</v>
      </c>
      <c r="AS349" s="2" t="s">
        <v>375</v>
      </c>
      <c r="AX349" s="1" t="s">
        <v>1546</v>
      </c>
      <c r="AZ349" s="2" t="s">
        <v>1547</v>
      </c>
      <c r="BC349" s="1">
        <v>2023</v>
      </c>
    </row>
    <row r="350" spans="5:55" ht="13" x14ac:dyDescent="0.15">
      <c r="E350" s="1" t="s">
        <v>91</v>
      </c>
      <c r="G350" s="1" t="s">
        <v>1548</v>
      </c>
      <c r="N350" s="1" t="str">
        <f ca="1">IFERROR(__xludf.DUMMYFUNCTION("CONCAT(LEFT(REGEXREPLACE(AX350, ""[^A-Za-z0-9]"", """"), 20), TEXT(ROW(AX350)-1, ""000""))"),"JustWhatdoYouThinkYo349")</f>
        <v>JustWhatdoYouThinkYo349</v>
      </c>
      <c r="W350" s="1" t="s">
        <v>86</v>
      </c>
      <c r="X350" s="1">
        <v>2109.0659799999999</v>
      </c>
      <c r="AS350" s="2" t="s">
        <v>375</v>
      </c>
      <c r="AX350" s="1" t="s">
        <v>1549</v>
      </c>
      <c r="AZ350" s="2" t="s">
        <v>1550</v>
      </c>
      <c r="BC350" s="1">
        <v>2021</v>
      </c>
    </row>
    <row r="351" spans="5:55" ht="13" x14ac:dyDescent="0.15">
      <c r="G351" s="1" t="s">
        <v>1551</v>
      </c>
      <c r="N351" s="1" t="str">
        <f ca="1">IFERROR(__xludf.DUMMYFUNCTION("CONCAT(LEFT(REGEXREPLACE(AX351, ""[^A-Za-z0-9]"", """"), 20), TEXT(ROW(AX351)-1, ""000""))"),"KDDCup2004Resultsand350")</f>
        <v>KDDCup2004Resultsand350</v>
      </c>
      <c r="W351" s="1" t="s">
        <v>57</v>
      </c>
      <c r="AF351" s="1" t="s">
        <v>321</v>
      </c>
      <c r="AL351" s="1" t="s">
        <v>1552</v>
      </c>
      <c r="AM351" s="1">
        <v>2</v>
      </c>
      <c r="AP351" s="1" t="s">
        <v>1553</v>
      </c>
      <c r="AT351" s="1" t="s">
        <v>171</v>
      </c>
      <c r="AX351" s="1" t="s">
        <v>1554</v>
      </c>
      <c r="BB351" s="1">
        <v>6</v>
      </c>
      <c r="BC351" s="1">
        <v>2004</v>
      </c>
    </row>
    <row r="352" spans="5:55" ht="13" x14ac:dyDescent="0.15">
      <c r="G352" s="1" t="s">
        <v>1555</v>
      </c>
      <c r="M352" s="1" t="s">
        <v>1556</v>
      </c>
      <c r="N352" s="1" t="str">
        <f ca="1">IFERROR(__xludf.DUMMYFUNCTION("CONCAT(LEFT(REGEXREPLACE(AX352, ""[^A-Za-z0-9]"", """"), 20), TEXT(ROW(AX352)-1, ""000""))"),"LabelSegmentFeaturiz351")</f>
        <v>LabelSegmentFeaturiz351</v>
      </c>
      <c r="W352" s="1" t="s">
        <v>64</v>
      </c>
      <c r="AL352" s="1" t="s">
        <v>1557</v>
      </c>
      <c r="AO352" s="1" t="s">
        <v>750</v>
      </c>
      <c r="AP352" s="1" t="s">
        <v>1558</v>
      </c>
      <c r="AX352" s="1" t="s">
        <v>1559</v>
      </c>
      <c r="BC352" s="1">
        <v>2016</v>
      </c>
    </row>
    <row r="353" spans="3:55" ht="13" x14ac:dyDescent="0.15">
      <c r="G353" s="1" t="s">
        <v>1560</v>
      </c>
      <c r="M353" s="1" t="s">
        <v>1561</v>
      </c>
      <c r="N353" s="1" t="str">
        <f ca="1">IFERROR(__xludf.DUMMYFUNCTION("CONCAT(LEFT(REGEXREPLACE(AX353, ""[^A-Za-z0-9]"", """"), 20), TEXT(ROW(AX353)-1, ""000""))"),"Labeledfacesinthewil352")</f>
        <v>Labeledfacesinthewil352</v>
      </c>
      <c r="W353" s="1" t="s">
        <v>64</v>
      </c>
      <c r="AX353" s="1" t="s">
        <v>1562</v>
      </c>
      <c r="AZ353" t="s">
        <v>2717</v>
      </c>
      <c r="BC353" s="1">
        <v>2008</v>
      </c>
    </row>
    <row r="354" spans="3:55" ht="13" x14ac:dyDescent="0.15">
      <c r="G354" s="1" t="s">
        <v>1563</v>
      </c>
      <c r="N354" s="1" t="str">
        <f ca="1">IFERROR(__xludf.DUMMYFUNCTION("CONCAT(LEFT(REGEXREPLACE(AX354, ""[^A-Za-z0-9]"", """"), 20), TEXT(ROW(AX354)-1, ""000""))"),"LanguageModelsareFew353")</f>
        <v>LanguageModelsareFew353</v>
      </c>
      <c r="W354" s="1" t="s">
        <v>57</v>
      </c>
      <c r="AF354" s="1" t="s">
        <v>447</v>
      </c>
      <c r="AP354" s="1" t="s">
        <v>1564</v>
      </c>
      <c r="AX354" s="1" t="s">
        <v>1565</v>
      </c>
      <c r="AZ354" s="2" t="s">
        <v>1566</v>
      </c>
      <c r="BB354" s="1">
        <v>33</v>
      </c>
      <c r="BC354" s="1">
        <v>2020</v>
      </c>
    </row>
    <row r="355" spans="3:55" ht="13" x14ac:dyDescent="0.15">
      <c r="G355" s="1" t="s">
        <v>1567</v>
      </c>
      <c r="N355" s="1" t="str">
        <f ca="1">IFERROR(__xludf.DUMMYFUNCTION("CONCAT(LEFT(REGEXREPLACE(AX355, ""[^A-Za-z0-9]"", """"), 20), TEXT(ROW(AX355)-1, ""000""))"),"LanguageModelsareUns354")</f>
        <v>LanguageModelsareUns354</v>
      </c>
      <c r="W355" s="1" t="s">
        <v>57</v>
      </c>
      <c r="AF355" s="1" t="s">
        <v>1568</v>
      </c>
      <c r="AL355" s="1" t="s">
        <v>1569</v>
      </c>
      <c r="AM355" s="1">
        <v>8</v>
      </c>
      <c r="AX355" s="1" t="s">
        <v>1570</v>
      </c>
      <c r="BB355" s="1">
        <v>1</v>
      </c>
      <c r="BC355" s="1">
        <v>2019</v>
      </c>
    </row>
    <row r="356" spans="3:55" ht="13" x14ac:dyDescent="0.15">
      <c r="G356" s="1" t="s">
        <v>1571</v>
      </c>
      <c r="N356" s="1" t="str">
        <f ca="1">IFERROR(__xludf.DUMMYFUNCTION("CONCAT(LEFT(REGEXREPLACE(AX356, ""[^A-Za-z0-9]"", """"), 20), TEXT(ROW(AX356)-1, ""000""))"),"LargeAImodelsarecult355")</f>
        <v>LargeAImodelsarecult355</v>
      </c>
      <c r="T356" s="1" t="s">
        <v>1572</v>
      </c>
      <c r="W356" s="1" t="s">
        <v>57</v>
      </c>
      <c r="X356" s="2" t="s">
        <v>1573</v>
      </c>
      <c r="AF356" s="1" t="s">
        <v>827</v>
      </c>
      <c r="AM356" s="1">
        <v>6739</v>
      </c>
      <c r="AP356" s="1" t="s">
        <v>1160</v>
      </c>
      <c r="AX356" s="1" t="s">
        <v>1574</v>
      </c>
      <c r="AZ356" s="2" t="s">
        <v>1575</v>
      </c>
      <c r="BB356" s="1">
        <v>387</v>
      </c>
      <c r="BC356" s="1">
        <v>2025</v>
      </c>
    </row>
    <row r="357" spans="3:55" ht="13" x14ac:dyDescent="0.15">
      <c r="G357" s="1" t="s">
        <v>1576</v>
      </c>
      <c r="N357" s="1" t="str">
        <f ca="1">IFERROR(__xludf.DUMMYFUNCTION("CONCAT(LEFT(REGEXREPLACE(AX357, ""[^A-Za-z0-9]"", """"), 20), TEXT(ROW(AX357)-1, ""000""))"),"LeakcheatrepeatDatac356")</f>
        <v>LeakcheatrepeatDatac356</v>
      </c>
      <c r="W357" s="1" t="s">
        <v>57</v>
      </c>
      <c r="AF357" s="1" t="s">
        <v>1577</v>
      </c>
      <c r="AX357" s="1" t="s">
        <v>1578</v>
      </c>
      <c r="AZ357" t="s">
        <v>2782</v>
      </c>
      <c r="BC357" s="1">
        <v>2024</v>
      </c>
    </row>
    <row r="358" spans="3:55" ht="13" x14ac:dyDescent="0.15">
      <c r="E358" s="1" t="s">
        <v>91</v>
      </c>
      <c r="G358" s="1" t="s">
        <v>1579</v>
      </c>
      <c r="N358" s="1" t="str">
        <f ca="1">IFERROR(__xludf.DUMMYFUNCTION("CONCAT(LEFT(REGEXREPLACE(AX358, ""[^A-Za-z0-9]"", """"), 20), TEXT(ROW(AX358)-1, ""000""))"),"LeakageandtheReprodu357")</f>
        <v>LeakageandtheReprodu357</v>
      </c>
      <c r="W358" s="1" t="s">
        <v>86</v>
      </c>
      <c r="X358" s="1">
        <v>2207.0704799999999</v>
      </c>
      <c r="AS358" s="1" t="s">
        <v>1538</v>
      </c>
      <c r="AX358" s="1" t="s">
        <v>1580</v>
      </c>
      <c r="AZ358" s="2" t="s">
        <v>1581</v>
      </c>
      <c r="BC358" s="1">
        <v>2022</v>
      </c>
    </row>
    <row r="359" spans="3:55" ht="13" x14ac:dyDescent="0.15">
      <c r="G359" s="1" t="s">
        <v>1582</v>
      </c>
      <c r="N359" s="1" t="str">
        <f ca="1">IFERROR(__xludf.DUMMYFUNCTION("CONCAT(LEFT(REGEXREPLACE(AX359, ""[^A-Za-z0-9]"", """"), 20), TEXT(ROW(AX359)-1, ""000""))"),"LearningCertifiablyO358")</f>
        <v>LearningCertifiablyO358</v>
      </c>
      <c r="W359" s="1" t="s">
        <v>57</v>
      </c>
      <c r="AF359" s="1" t="s">
        <v>1583</v>
      </c>
      <c r="AL359" s="1" t="s">
        <v>1584</v>
      </c>
      <c r="AM359" s="1">
        <v>1</v>
      </c>
      <c r="AP359" s="1" t="s">
        <v>1585</v>
      </c>
      <c r="AT359" s="2" t="s">
        <v>1586</v>
      </c>
      <c r="AX359" s="1" t="s">
        <v>1587</v>
      </c>
      <c r="BB359" s="1">
        <v>18</v>
      </c>
      <c r="BC359" s="1">
        <v>2017</v>
      </c>
    </row>
    <row r="360" spans="3:55" ht="13" x14ac:dyDescent="0.15">
      <c r="G360" s="1" t="s">
        <v>1588</v>
      </c>
      <c r="L360" s="2" t="s">
        <v>1589</v>
      </c>
      <c r="N360" s="1" t="str">
        <f ca="1">IFERROR(__xludf.DUMMYFUNCTION("CONCAT(LEFT(REGEXREPLACE(AX360, ""[^A-Za-z0-9]"", """"), 20), TEXT(ROW(AX360)-1, ""000""))"),"LearningDeepArchitec359")</f>
        <v>LearningDeepArchitec359</v>
      </c>
      <c r="W360" s="1" t="s">
        <v>86</v>
      </c>
      <c r="AX360" s="1" t="s">
        <v>1590</v>
      </c>
      <c r="AZ360" s="2" t="s">
        <v>1589</v>
      </c>
      <c r="BC360" s="1">
        <v>2009</v>
      </c>
    </row>
    <row r="361" spans="3:55" ht="13" x14ac:dyDescent="0.15">
      <c r="G361" s="1" t="s">
        <v>1591</v>
      </c>
      <c r="M361" s="1" t="s">
        <v>1592</v>
      </c>
      <c r="N361" s="1" t="str">
        <f ca="1">IFERROR(__xludf.DUMMYFUNCTION("CONCAT(LEFT(REGEXREPLACE(AX361, ""[^A-Za-z0-9]"", """"), 20), TEXT(ROW(AX361)-1, ""000""))"),"LearningFairRepresen360")</f>
        <v>LearningFairRepresen360</v>
      </c>
      <c r="W361" s="1" t="s">
        <v>64</v>
      </c>
      <c r="AL361" s="1" t="s">
        <v>1593</v>
      </c>
      <c r="AP361" s="1" t="s">
        <v>1594</v>
      </c>
      <c r="AX361" s="1" t="s">
        <v>1595</v>
      </c>
      <c r="BC361" s="1">
        <v>2013</v>
      </c>
    </row>
    <row r="362" spans="3:55" ht="13" x14ac:dyDescent="0.15">
      <c r="C362" s="1" t="s">
        <v>912</v>
      </c>
      <c r="G362" s="1" t="s">
        <v>1596</v>
      </c>
      <c r="M362" s="1" t="s">
        <v>1597</v>
      </c>
      <c r="N362" s="1" t="str">
        <f ca="1">IFERROR(__xludf.DUMMYFUNCTION("CONCAT(LEFT(REGEXREPLACE(AX362, ""[^A-Za-z0-9]"", """"), 20), TEXT(ROW(AX362)-1, ""000""))"),"LearningfromData361")</f>
        <v>LearningfromData361</v>
      </c>
      <c r="W362" s="1" t="s">
        <v>69</v>
      </c>
      <c r="AT362" s="1" t="s">
        <v>1598</v>
      </c>
      <c r="AX362" s="1" t="s">
        <v>1599</v>
      </c>
      <c r="AZ362" s="2" t="s">
        <v>1600</v>
      </c>
      <c r="BC362" s="1">
        <v>2012</v>
      </c>
    </row>
    <row r="363" spans="3:55" ht="13" x14ac:dyDescent="0.15">
      <c r="G363" s="1" t="s">
        <v>1601</v>
      </c>
      <c r="N363" s="1" t="str">
        <f ca="1">IFERROR(__xludf.DUMMYFUNCTION("CONCAT(LEFT(REGEXREPLACE(AX363, ""[^A-Za-z0-9]"", """"), 20), TEXT(ROW(AX363)-1, ""000""))"),"LearningthePartsofOb362")</f>
        <v>LearningthePartsofOb362</v>
      </c>
      <c r="W363" s="1" t="s">
        <v>57</v>
      </c>
      <c r="AF363" s="1" t="s">
        <v>270</v>
      </c>
      <c r="AM363" s="1">
        <v>6755</v>
      </c>
      <c r="AP363" s="1" t="s">
        <v>1602</v>
      </c>
      <c r="AT363" s="1" t="s">
        <v>272</v>
      </c>
      <c r="AX363" s="1" t="s">
        <v>1603</v>
      </c>
      <c r="AZ363" s="2" t="s">
        <v>1604</v>
      </c>
      <c r="BB363" s="1">
        <v>401</v>
      </c>
      <c r="BC363" s="1">
        <v>1999</v>
      </c>
    </row>
    <row r="364" spans="3:55" ht="13" x14ac:dyDescent="0.15">
      <c r="G364" s="1" t="s">
        <v>1605</v>
      </c>
      <c r="N364" s="1" t="str">
        <f ca="1">IFERROR(__xludf.DUMMYFUNCTION("CONCAT(LEFT(REGEXREPLACE(AX364, ""[^A-Za-z0-9]"", """"), 20), TEXT(ROW(AX364)-1, ""000""))"),"LegalRedTeamingASyst363")</f>
        <v>LegalRedTeamingASyst363</v>
      </c>
      <c r="W364" s="1" t="s">
        <v>86</v>
      </c>
      <c r="Z364" s="1" t="s">
        <v>1606</v>
      </c>
      <c r="AX364" s="1" t="s">
        <v>1607</v>
      </c>
      <c r="BC364" s="1">
        <v>2024</v>
      </c>
    </row>
    <row r="365" spans="3:55" ht="13" x14ac:dyDescent="0.15">
      <c r="G365" s="1" t="s">
        <v>1608</v>
      </c>
      <c r="N365" s="1" t="str">
        <f ca="1">IFERROR(__xludf.DUMMYFUNCTION("CONCAT(LEFT(REGEXREPLACE(AX365, ""[^A-Za-z0-9]"", """"), 20), TEXT(ROW(AX365)-1, ""000""))"),"LettheDataPaintthePi364")</f>
        <v>LettheDataPaintthePi364</v>
      </c>
      <c r="W365" s="1" t="s">
        <v>57</v>
      </c>
      <c r="AF365" s="1" t="s">
        <v>316</v>
      </c>
      <c r="AL365" s="1" t="s">
        <v>1609</v>
      </c>
      <c r="AT365" s="1" t="s">
        <v>318</v>
      </c>
      <c r="AX365" s="1" t="s">
        <v>1610</v>
      </c>
      <c r="BC365" s="1">
        <v>2012</v>
      </c>
    </row>
    <row r="366" spans="3:55" ht="13" x14ac:dyDescent="0.15">
      <c r="G366" s="1" t="s">
        <v>1611</v>
      </c>
      <c r="N366" s="1" t="str">
        <f ca="1">IFERROR(__xludf.DUMMYFUNCTION("CONCAT(LEFT(REGEXREPLACE(AX366, ""[^A-Za-z0-9]"", """"), 20), TEXT(ROW(AX366)-1, ""000""))"),"LimitationsofInterpr365")</f>
        <v>LimitationsofInterpr365</v>
      </c>
      <c r="W366" s="1" t="s">
        <v>69</v>
      </c>
      <c r="AL366" s="1" t="s">
        <v>1612</v>
      </c>
      <c r="AT366" s="1" t="s">
        <v>1613</v>
      </c>
      <c r="AX366" s="1" t="s">
        <v>1614</v>
      </c>
      <c r="BC366" s="1">
        <v>2020</v>
      </c>
    </row>
    <row r="367" spans="3:55" ht="13" x14ac:dyDescent="0.15">
      <c r="G367" s="1" t="s">
        <v>1615</v>
      </c>
      <c r="M367" s="1" t="s">
        <v>1616</v>
      </c>
      <c r="N367" s="1" t="str">
        <f ca="1">IFERROR(__xludf.DUMMYFUNCTION("CONCAT(LEFT(REGEXREPLACE(AX367, ""[^A-Za-z0-9]"", """"), 20), TEXT(ROW(AX367)-1, ""000""))"),"LiveBenchAChallengin366")</f>
        <v>LiveBenchAChallengin366</v>
      </c>
      <c r="W367" s="1" t="s">
        <v>64</v>
      </c>
      <c r="AX367" s="1" t="s">
        <v>1617</v>
      </c>
      <c r="AZ367" t="s">
        <v>2718</v>
      </c>
    </row>
    <row r="368" spans="3:55" ht="13" x14ac:dyDescent="0.15">
      <c r="G368" s="1" t="s">
        <v>1618</v>
      </c>
      <c r="N368" s="1" t="str">
        <f ca="1">IFERROR(__xludf.DUMMYFUNCTION("CONCAT(LEFT(REGEXREPLACE(AX368, ""[^A-Za-z0-9]"", """"), 20), TEXT(ROW(AX368)-1, ""000""))"),"LlamaguardLLMbasedin367")</f>
        <v>LlamaguardLLMbasedin367</v>
      </c>
      <c r="W368" s="1" t="s">
        <v>57</v>
      </c>
      <c r="AF368" s="1" t="s">
        <v>1619</v>
      </c>
      <c r="AX368" s="1" t="s">
        <v>1620</v>
      </c>
      <c r="AZ368" s="2" t="s">
        <v>1621</v>
      </c>
      <c r="BC368" s="1">
        <v>2023</v>
      </c>
    </row>
    <row r="369" spans="1:55" ht="13" x14ac:dyDescent="0.15">
      <c r="G369" s="1" t="s">
        <v>1622</v>
      </c>
      <c r="N369" s="1" t="str">
        <f ca="1">IFERROR(__xludf.DUMMYFUNCTION("CONCAT(LEFT(REGEXREPLACE(AX369, ""[^A-Za-z0-9]"", """"), 20), TEXT(ROW(AX369)-1, ""000""))"),"LLMDefensesAreNotRob368")</f>
        <v>LLMDefensesAreNotRob368</v>
      </c>
      <c r="W369" s="1" t="s">
        <v>57</v>
      </c>
      <c r="AF369" s="1" t="s">
        <v>1623</v>
      </c>
      <c r="AL369" s="1" t="s">
        <v>1624</v>
      </c>
      <c r="AX369" s="1" t="s">
        <v>1625</v>
      </c>
      <c r="BC369" s="1">
        <v>2024</v>
      </c>
    </row>
    <row r="370" spans="1:55" ht="13" x14ac:dyDescent="0.15">
      <c r="G370" s="1" t="s">
        <v>1626</v>
      </c>
      <c r="N370" s="1" t="str">
        <f ca="1">IFERROR(__xludf.DUMMYFUNCTION("CONCAT(LEFT(REGEXREPLACE(AX370, ""[^A-Za-z0-9]"", """"), 20), TEXT(ROW(AX370)-1, ""000""))"),"LLMSecurityandPrivac369")</f>
        <v>LLMSecurityandPrivac369</v>
      </c>
      <c r="W370" s="1" t="s">
        <v>86</v>
      </c>
      <c r="Z370" s="1" t="s">
        <v>1627</v>
      </c>
      <c r="AX370" s="1" t="s">
        <v>1628</v>
      </c>
      <c r="AZ370" s="2" t="s">
        <v>1629</v>
      </c>
    </row>
    <row r="371" spans="1:55" ht="13" x14ac:dyDescent="0.15">
      <c r="G371" s="1" t="s">
        <v>1630</v>
      </c>
      <c r="M371" s="1" t="s">
        <v>1631</v>
      </c>
      <c r="N371" s="1" t="str">
        <f ca="1">IFERROR(__xludf.DUMMYFUNCTION("CONCAT(LEFT(REGEXREPLACE(AX371, ""[^A-Za-z0-9]"", """"), 20), TEXT(ROW(AX371)-1, ""000""))"),"LLMscaughtinthecross370")</f>
        <v>LLMscaughtinthecross370</v>
      </c>
      <c r="W371" s="1" t="s">
        <v>108</v>
      </c>
      <c r="AL371" s="1" t="s">
        <v>1632</v>
      </c>
      <c r="AX371" s="1" t="s">
        <v>1633</v>
      </c>
      <c r="AZ371" t="s">
        <v>2783</v>
      </c>
      <c r="BC371" s="1">
        <v>2025</v>
      </c>
    </row>
    <row r="372" spans="1:55" ht="13" x14ac:dyDescent="0.15">
      <c r="G372" s="1" t="s">
        <v>1634</v>
      </c>
      <c r="N372" s="1" t="str">
        <f ca="1">IFERROR(__xludf.DUMMYFUNCTION("CONCAT(LEFT(REGEXREPLACE(AX372, ""[^A-Za-z0-9]"", """"), 20), TEXT(ROW(AX372)-1, ""000""))"),"LocallyInterpretable371")</f>
        <v>LocallyInterpretable371</v>
      </c>
      <c r="W372" s="1" t="s">
        <v>57</v>
      </c>
      <c r="AF372" s="1" t="s">
        <v>1635</v>
      </c>
      <c r="AX372" s="1" t="s">
        <v>1636</v>
      </c>
      <c r="AZ372" s="2" t="s">
        <v>1637</v>
      </c>
      <c r="BC372" s="1">
        <v>2018</v>
      </c>
    </row>
    <row r="373" spans="1:55" ht="13" x14ac:dyDescent="0.15">
      <c r="G373" s="1" t="s">
        <v>1638</v>
      </c>
      <c r="N373" s="1" t="str">
        <f ca="1">IFERROR(__xludf.DUMMYFUNCTION("CONCAT(LEFT(REGEXREPLACE(AX373, ""[^A-Za-z0-9]"", """"), 20), TEXT(ROW(AX373)-1, ""000""))"),"LoraLowrankAdaptatio372")</f>
        <v>LoraLowrankAdaptatio372</v>
      </c>
      <c r="W373" s="1" t="s">
        <v>57</v>
      </c>
      <c r="AF373" s="1" t="s">
        <v>1639</v>
      </c>
      <c r="AM373" s="1">
        <v>2</v>
      </c>
      <c r="AP373" s="1">
        <v>3</v>
      </c>
      <c r="AX373" s="1" t="s">
        <v>1640</v>
      </c>
      <c r="AZ373" s="2" t="s">
        <v>1641</v>
      </c>
      <c r="BB373" s="1">
        <v>1</v>
      </c>
      <c r="BC373" s="1">
        <v>2022</v>
      </c>
    </row>
    <row r="374" spans="1:55" ht="13" x14ac:dyDescent="0.15">
      <c r="G374" s="1" t="s">
        <v>1642</v>
      </c>
      <c r="N374" s="1" t="str">
        <f ca="1">IFERROR(__xludf.DUMMYFUNCTION("CONCAT(LEFT(REGEXREPLACE(AX374, ""[^A-Za-z0-9]"", """"), 20), TEXT(ROW(AX374)-1, ""000""))"),"MachineLearning373")</f>
        <v>MachineLearning373</v>
      </c>
      <c r="W374" s="1" t="s">
        <v>69</v>
      </c>
      <c r="AB374" s="1">
        <v>70428077</v>
      </c>
      <c r="AT374" s="1" t="s">
        <v>1643</v>
      </c>
      <c r="AX374" s="1" t="s">
        <v>1644</v>
      </c>
      <c r="AZ374" s="2" t="s">
        <v>1645</v>
      </c>
      <c r="BC374" s="1">
        <v>1997</v>
      </c>
    </row>
    <row r="375" spans="1:55" ht="13" x14ac:dyDescent="0.15">
      <c r="G375" s="1" t="s">
        <v>1646</v>
      </c>
      <c r="L375" s="2" t="s">
        <v>1647</v>
      </c>
      <c r="N375" s="1" t="str">
        <f ca="1">IFERROR(__xludf.DUMMYFUNCTION("CONCAT(LEFT(REGEXREPLACE(AX375, ""[^A-Za-z0-9]"", """"), 20), TEXT(ROW(AX375)-1, ""000""))"),"MachineLearningBiasS374")</f>
        <v>MachineLearningBiasS374</v>
      </c>
      <c r="W375" s="1" t="s">
        <v>57</v>
      </c>
      <c r="AX375" s="1" t="s">
        <v>1648</v>
      </c>
      <c r="AZ375" s="2" t="s">
        <v>1647</v>
      </c>
      <c r="BC375" s="1">
        <v>1995</v>
      </c>
    </row>
    <row r="376" spans="1:55" ht="13" x14ac:dyDescent="0.15">
      <c r="G376" s="1" t="s">
        <v>1649</v>
      </c>
      <c r="N376" s="1" t="str">
        <f ca="1">IFERROR(__xludf.DUMMYFUNCTION("CONCAT(LEFT(REGEXREPLACE(AX376, ""[^A-Za-z0-9]"", """"), 20), TEXT(ROW(AX376)-1, ""000""))"),"MachineLearningExpla375")</f>
        <v>MachineLearningExpla375</v>
      </c>
      <c r="W376" s="1" t="s">
        <v>57</v>
      </c>
      <c r="AL376" s="1" t="s">
        <v>1650</v>
      </c>
      <c r="AT376" s="1" t="s">
        <v>1651</v>
      </c>
      <c r="AX376" s="1" t="s">
        <v>1652</v>
      </c>
      <c r="BC376" s="1">
        <v>2019</v>
      </c>
    </row>
    <row r="377" spans="1:55" ht="13" x14ac:dyDescent="0.15">
      <c r="G377" s="1" t="s">
        <v>1653</v>
      </c>
      <c r="N377" s="1" t="str">
        <f ca="1">IFERROR(__xludf.DUMMYFUNCTION("CONCAT(LEFT(REGEXREPLACE(AX377, ""[^A-Za-z0-9]"", """"), 20), TEXT(ROW(AX377)-1, ""000""))"),"MachineLearningforHi376")</f>
        <v>MachineLearningforHi376</v>
      </c>
      <c r="W377" s="1" t="s">
        <v>69</v>
      </c>
      <c r="AT377" s="1" t="s">
        <v>337</v>
      </c>
      <c r="AX377" s="1" t="s">
        <v>1654</v>
      </c>
      <c r="AZ377" s="2" t="s">
        <v>1655</v>
      </c>
      <c r="BC377" s="1">
        <v>2023</v>
      </c>
    </row>
    <row r="378" spans="1:55" ht="13" x14ac:dyDescent="0.15">
      <c r="G378" s="1" t="s">
        <v>1656</v>
      </c>
      <c r="N378" s="1" t="str">
        <f ca="1">IFERROR(__xludf.DUMMYFUNCTION("CONCAT(LEFT(REGEXREPLACE(AX378, ""[^A-Za-z0-9]"", """"), 20), TEXT(ROW(AX378)-1, ""000""))"),"MachineLearningInter377")</f>
        <v>MachineLearningInter377</v>
      </c>
      <c r="W378" s="1" t="s">
        <v>86</v>
      </c>
      <c r="AL378" s="1" t="s">
        <v>1657</v>
      </c>
      <c r="AT378" s="1" t="s">
        <v>1658</v>
      </c>
      <c r="AX378" s="1" t="s">
        <v>1659</v>
      </c>
      <c r="BC378" s="1">
        <v>2017</v>
      </c>
    </row>
    <row r="379" spans="1:55" ht="13" x14ac:dyDescent="0.15">
      <c r="G379" s="1" t="s">
        <v>1660</v>
      </c>
      <c r="N379" s="1" t="str">
        <f ca="1">IFERROR(__xludf.DUMMYFUNCTION("CONCAT(LEFT(REGEXREPLACE(AX379, ""[^A-Za-z0-9]"", """"), 20), TEXT(ROW(AX379)-1, ""000""))"),"MachineLearningConsi378")</f>
        <v>MachineLearningConsi378</v>
      </c>
      <c r="W379" s="1" t="s">
        <v>86</v>
      </c>
      <c r="AL379" s="1" t="s">
        <v>1661</v>
      </c>
      <c r="AT379" s="1" t="s">
        <v>1662</v>
      </c>
      <c r="AX379" s="1" t="s">
        <v>1663</v>
      </c>
      <c r="BC379" s="1">
        <v>2020</v>
      </c>
    </row>
    <row r="380" spans="1:55" ht="13" x14ac:dyDescent="0.15">
      <c r="E380" s="1" t="s">
        <v>91</v>
      </c>
      <c r="G380" s="1" t="s">
        <v>1664</v>
      </c>
      <c r="N380" s="1" t="str">
        <f ca="1">IFERROR(__xludf.DUMMYFUNCTION("CONCAT(LEFT(REGEXREPLACE(AX380, ""[^A-Za-z0-9]"", """"), 20), TEXT(ROW(AX380)-1, ""000""))"),"MakingAILessThirstyU379")</f>
        <v>MakingAILessThirstyU379</v>
      </c>
      <c r="W380" s="1" t="s">
        <v>86</v>
      </c>
      <c r="X380" s="1">
        <v>2304.03271</v>
      </c>
      <c r="AS380" s="1" t="s">
        <v>1538</v>
      </c>
      <c r="AX380" s="1" t="s">
        <v>1665</v>
      </c>
      <c r="AZ380" s="2" t="s">
        <v>1666</v>
      </c>
      <c r="BC380" s="1">
        <v>2025</v>
      </c>
    </row>
    <row r="381" spans="1:55" ht="13" x14ac:dyDescent="0.15">
      <c r="A381" s="1" t="s">
        <v>1667</v>
      </c>
      <c r="G381" s="1" t="s">
        <v>1668</v>
      </c>
      <c r="N381" s="1" t="str">
        <f ca="1">IFERROR(__xludf.DUMMYFUNCTION("CONCAT(LEFT(REGEXREPLACE(AX381, ""[^A-Za-z0-9]"", """"), 20), TEXT(ROW(AX381)-1, ""000""))"),"MakingPeaceWithGenAI380")</f>
        <v>MakingPeaceWithGenAI380</v>
      </c>
      <c r="W381" s="1" t="s">
        <v>86</v>
      </c>
      <c r="AF381" s="1" t="s">
        <v>1669</v>
      </c>
      <c r="AH381" s="1" t="s">
        <v>114</v>
      </c>
      <c r="AL381" s="1" t="s">
        <v>1212</v>
      </c>
      <c r="AX381" s="1" t="s">
        <v>1670</v>
      </c>
      <c r="AZ381" s="2" t="s">
        <v>1671</v>
      </c>
    </row>
    <row r="382" spans="1:55" ht="13" x14ac:dyDescent="0.15">
      <c r="G382" s="1" t="s">
        <v>1672</v>
      </c>
      <c r="N382" s="1" t="str">
        <f ca="1">IFERROR(__xludf.DUMMYFUNCTION("CONCAT(LEFT(REGEXREPLACE(AX382, ""[^A-Za-z0-9]"", """"), 20), TEXT(ROW(AX382)-1, ""000""))"),"ManagementInformatio381")</f>
        <v>ManagementInformatio381</v>
      </c>
      <c r="W382" s="1" t="s">
        <v>69</v>
      </c>
      <c r="AT382" s="1" t="s">
        <v>1673</v>
      </c>
      <c r="AX382" s="1" t="s">
        <v>1674</v>
      </c>
      <c r="AZ382" t="s">
        <v>2719</v>
      </c>
      <c r="BC382" s="1">
        <v>2004</v>
      </c>
    </row>
    <row r="383" spans="1:55" ht="13" x14ac:dyDescent="0.15">
      <c r="G383" s="1" t="s">
        <v>1675</v>
      </c>
      <c r="N383" s="1" t="str">
        <f ca="1">IFERROR(__xludf.DUMMYFUNCTION("CONCAT(LEFT(REGEXREPLACE(AX383, ""[^A-Za-z0-9]"", """"), 20), TEXT(ROW(AX383)-1, ""000""))"),"ManipulatingandMeasu382")</f>
        <v>ManipulatingandMeasu382</v>
      </c>
      <c r="W383" s="1" t="s">
        <v>57</v>
      </c>
      <c r="AF383" s="1" t="s">
        <v>1676</v>
      </c>
      <c r="AL383" s="1" t="s">
        <v>1677</v>
      </c>
      <c r="AX383" s="1" t="s">
        <v>1678</v>
      </c>
      <c r="BC383" s="1">
        <v>2018</v>
      </c>
    </row>
    <row r="384" spans="1:55" ht="13" x14ac:dyDescent="0.15">
      <c r="G384" s="1" t="s">
        <v>1679</v>
      </c>
      <c r="N384" s="1" t="str">
        <f ca="1">IFERROR(__xludf.DUMMYFUNCTION("CONCAT(LEFT(REGEXREPLACE(AX384, ""[^A-Za-z0-9]"", """"), 20), TEXT(ROW(AX384)-1, ""000""))"),"ManyHandsMakeManyFin383")</f>
        <v>ManyHandsMakeManyFin383</v>
      </c>
      <c r="T384" s="1" t="s">
        <v>1680</v>
      </c>
      <c r="W384" s="1" t="s">
        <v>57</v>
      </c>
      <c r="AF384" s="1" t="s">
        <v>1681</v>
      </c>
      <c r="AM384" s="1">
        <v>4</v>
      </c>
      <c r="AP384" s="1" t="s">
        <v>1682</v>
      </c>
      <c r="AX384" s="1" t="s">
        <v>1683</v>
      </c>
      <c r="BB384" s="1">
        <v>38</v>
      </c>
      <c r="BC384" s="1">
        <v>2023</v>
      </c>
    </row>
    <row r="385" spans="5:55" ht="13" x14ac:dyDescent="0.15">
      <c r="E385" s="1" t="s">
        <v>91</v>
      </c>
      <c r="G385" s="1" t="s">
        <v>1684</v>
      </c>
      <c r="N385" s="1" t="str">
        <f ca="1">IFERROR(__xludf.DUMMYFUNCTION("CONCAT(LEFT(REGEXREPLACE(AX385, ""[^A-Za-z0-9]"", """"), 20), TEXT(ROW(AX385)-1, ""000""))"),"MarkMyWordsAnalyzing384")</f>
        <v>MarkMyWordsAnalyzing384</v>
      </c>
      <c r="W385" s="1" t="s">
        <v>86</v>
      </c>
      <c r="X385" s="1">
        <v>2312.0027300000002</v>
      </c>
      <c r="AS385" s="2" t="s">
        <v>867</v>
      </c>
      <c r="AX385" s="1" t="s">
        <v>1685</v>
      </c>
      <c r="AZ385" s="2" t="s">
        <v>1686</v>
      </c>
      <c r="BC385" s="1">
        <v>2024</v>
      </c>
    </row>
    <row r="386" spans="5:55" ht="13" x14ac:dyDescent="0.15">
      <c r="G386" s="1" t="s">
        <v>1687</v>
      </c>
      <c r="L386" s="2" t="s">
        <v>1688</v>
      </c>
      <c r="M386" s="1" t="s">
        <v>1689</v>
      </c>
      <c r="N386" s="1" t="str">
        <f ca="1">IFERROR(__xludf.DUMMYFUNCTION("CONCAT(LEFT(REGEXREPLACE(AX386, ""[^A-Za-z0-9]"", """"), 20), TEXT(ROW(AX386)-1, ""000""))"),"Maxoutnetworks385")</f>
        <v>Maxoutnetworks385</v>
      </c>
      <c r="W386" s="1" t="s">
        <v>64</v>
      </c>
      <c r="AX386" s="1" t="s">
        <v>1690</v>
      </c>
      <c r="AZ386" s="2" t="s">
        <v>1688</v>
      </c>
      <c r="BC386" s="1">
        <v>2013</v>
      </c>
    </row>
    <row r="387" spans="5:55" ht="13" x14ac:dyDescent="0.15">
      <c r="G387" s="1" t="s">
        <v>1691</v>
      </c>
      <c r="M387" s="1" t="s">
        <v>1692</v>
      </c>
      <c r="N387" s="1" t="str">
        <f ca="1">IFERROR(__xludf.DUMMYFUNCTION("CONCAT(LEFT(REGEXREPLACE(AX387, ""[^A-Za-z0-9]"", """"), 20), TEXT(ROW(AX387)-1, ""000""))"),"Measurementandfairne386")</f>
        <v>Measurementandfairne386</v>
      </c>
      <c r="W387" s="1" t="s">
        <v>64</v>
      </c>
      <c r="AP387" s="1" t="s">
        <v>1693</v>
      </c>
      <c r="AX387" s="1" t="s">
        <v>1694</v>
      </c>
      <c r="AZ387" t="s">
        <v>2784</v>
      </c>
      <c r="BC387" s="1">
        <v>2021</v>
      </c>
    </row>
    <row r="388" spans="5:55" ht="13" x14ac:dyDescent="0.15">
      <c r="G388" s="1" t="s">
        <v>1695</v>
      </c>
      <c r="N388" s="1" t="str">
        <f ca="1">IFERROR(__xludf.DUMMYFUNCTION("CONCAT(LEFT(REGEXREPLACE(AX388, ""[^A-Za-z0-9]"", """"), 20), TEXT(ROW(AX388)-1, ""000""))"),"MeasurementvalidityA387")</f>
        <v>MeasurementvalidityA387</v>
      </c>
      <c r="T388" s="1" t="s">
        <v>1696</v>
      </c>
      <c r="W388" s="1" t="s">
        <v>57</v>
      </c>
      <c r="AF388" s="1" t="s">
        <v>1697</v>
      </c>
      <c r="AM388" s="1">
        <v>3</v>
      </c>
      <c r="AP388" s="1" t="s">
        <v>1698</v>
      </c>
      <c r="AT388" s="1" t="s">
        <v>1699</v>
      </c>
      <c r="AX388" s="1" t="s">
        <v>1700</v>
      </c>
      <c r="AZ388" s="2" t="s">
        <v>1701</v>
      </c>
      <c r="BB388" s="1">
        <v>95</v>
      </c>
      <c r="BC388" s="1">
        <v>2001</v>
      </c>
    </row>
    <row r="389" spans="5:55" ht="13" x14ac:dyDescent="0.15">
      <c r="G389" s="1" t="s">
        <v>1702</v>
      </c>
      <c r="M389" s="1" t="s">
        <v>1703</v>
      </c>
      <c r="N389" s="1" t="str">
        <f ca="1">IFERROR(__xludf.DUMMYFUNCTION("CONCAT(LEFT(REGEXREPLACE(AX389, ""[^A-Za-z0-9]"", """"), 20), TEXT(ROW(AX389)-1, ""000""))"),"MeasuringMassiveMult388")</f>
        <v>MeasuringMassiveMult388</v>
      </c>
      <c r="W389" s="1" t="s">
        <v>64</v>
      </c>
      <c r="AX389" s="1" t="s">
        <v>1704</v>
      </c>
      <c r="AZ389" t="s">
        <v>2720</v>
      </c>
    </row>
    <row r="390" spans="5:55" ht="13" x14ac:dyDescent="0.15">
      <c r="G390" s="1" t="s">
        <v>1705</v>
      </c>
      <c r="N390" s="1" t="str">
        <f ca="1">IFERROR(__xludf.DUMMYFUNCTION("CONCAT(LEFT(REGEXREPLACE(AX390, ""[^A-Za-z0-9]"", """"), 20), TEXT(ROW(AX390)-1, ""000""))"),"Measuringnominalscal389")</f>
        <v>Measuringnominalscal389</v>
      </c>
      <c r="W390" s="1" t="s">
        <v>57</v>
      </c>
      <c r="AF390" s="1" t="s">
        <v>134</v>
      </c>
      <c r="AM390" s="1">
        <v>5</v>
      </c>
      <c r="AP390" s="1">
        <v>378</v>
      </c>
      <c r="AT390" s="1" t="s">
        <v>136</v>
      </c>
      <c r="AX390" s="1" t="s">
        <v>1706</v>
      </c>
      <c r="AZ390" s="2" t="s">
        <v>1707</v>
      </c>
      <c r="BB390" s="1">
        <v>76</v>
      </c>
      <c r="BC390" s="1">
        <v>1971</v>
      </c>
    </row>
    <row r="391" spans="5:55" ht="13" x14ac:dyDescent="0.15">
      <c r="G391" s="1" t="s">
        <v>1708</v>
      </c>
      <c r="M391" s="1" t="s">
        <v>1709</v>
      </c>
      <c r="N391" s="1" t="str">
        <f ca="1">IFERROR(__xludf.DUMMYFUNCTION("CONCAT(LEFT(REGEXREPLACE(AX391, ""[^A-Za-z0-9]"", """"), 20), TEXT(ROW(AX391)-1, ""000""))"),"MembershipInferenceA390")</f>
        <v>MembershipInferenceA390</v>
      </c>
      <c r="W391" s="1" t="s">
        <v>64</v>
      </c>
      <c r="AL391" s="1" t="s">
        <v>1710</v>
      </c>
      <c r="AO391" s="1" t="s">
        <v>750</v>
      </c>
      <c r="AP391" s="1" t="s">
        <v>1711</v>
      </c>
      <c r="AX391" s="1" t="s">
        <v>1712</v>
      </c>
      <c r="BC391" s="1">
        <v>2017</v>
      </c>
    </row>
    <row r="392" spans="5:55" ht="13" x14ac:dyDescent="0.15">
      <c r="G392" s="1" t="s">
        <v>1713</v>
      </c>
      <c r="N392" s="1" t="str">
        <f ca="1">IFERROR(__xludf.DUMMYFUNCTION("CONCAT(LEFT(REGEXREPLACE(AX392, ""[^A-Za-z0-9]"", """"), 20), TEXT(ROW(AX392)-1, ""000""))"),"MicrosoftAIBountyPro391")</f>
        <v>MicrosoftAIBountyPro391</v>
      </c>
      <c r="W392" s="1" t="s">
        <v>86</v>
      </c>
      <c r="Z392" s="1" t="s">
        <v>1714</v>
      </c>
      <c r="AX392" s="1" t="s">
        <v>1715</v>
      </c>
    </row>
    <row r="393" spans="5:55" ht="13" x14ac:dyDescent="0.15">
      <c r="G393" s="1" t="s">
        <v>1716</v>
      </c>
      <c r="M393" s="1" t="s">
        <v>1717</v>
      </c>
      <c r="N393" s="1" t="str">
        <f ca="1">IFERROR(__xludf.DUMMYFUNCTION("CONCAT(LEFT(REGEXREPLACE(AX393, ""[^A-Za-z0-9]"", """"), 20), TEXT(ROW(AX393)-1, ""000""))"),"MicrosoftCOCOCommono392")</f>
        <v>MicrosoftCOCOCommono392</v>
      </c>
      <c r="W393" s="1" t="s">
        <v>64</v>
      </c>
      <c r="AO393" s="1" t="s">
        <v>193</v>
      </c>
      <c r="AP393" s="1" t="s">
        <v>1718</v>
      </c>
      <c r="AX393" s="1" t="s">
        <v>1719</v>
      </c>
      <c r="AZ393" t="s">
        <v>2721</v>
      </c>
      <c r="BC393" s="1">
        <v>2014</v>
      </c>
    </row>
    <row r="394" spans="5:55" ht="13" x14ac:dyDescent="0.15">
      <c r="G394" s="1" t="s">
        <v>1720</v>
      </c>
      <c r="N394" s="1" t="str">
        <f ca="1">IFERROR(__xludf.DUMMYFUNCTION("CONCAT(LEFT(REGEXREPLACE(AX394, ""[^A-Za-z0-9]"", """"), 20), TEXT(ROW(AX394)-1, ""000""))"),"MicrosoftResponsible393")</f>
        <v>MicrosoftResponsible393</v>
      </c>
      <c r="W394" s="1" t="s">
        <v>86</v>
      </c>
      <c r="AX394" s="1" t="s">
        <v>1721</v>
      </c>
      <c r="AZ394" s="2" t="s">
        <v>1722</v>
      </c>
      <c r="BC394" s="1">
        <v>2022</v>
      </c>
    </row>
    <row r="395" spans="5:55" ht="13" x14ac:dyDescent="0.15">
      <c r="G395" s="1" t="s">
        <v>1720</v>
      </c>
      <c r="N395" s="1" t="str">
        <f ca="1">IFERROR(__xludf.DUMMYFUNCTION("CONCAT(LEFT(REGEXREPLACE(AX395, ""[^A-Za-z0-9]"", """"), 20), TEXT(ROW(AX395)-1, ""000""))"),"MicrosoftResponsible394")</f>
        <v>MicrosoftResponsible394</v>
      </c>
      <c r="W395" s="1" t="s">
        <v>86</v>
      </c>
      <c r="AX395" s="1" t="s">
        <v>1723</v>
      </c>
      <c r="AZ395" s="2" t="s">
        <v>1724</v>
      </c>
      <c r="BC395" s="1">
        <v>2022</v>
      </c>
    </row>
    <row r="396" spans="5:55" ht="13" x14ac:dyDescent="0.15">
      <c r="G396" s="1" t="s">
        <v>1725</v>
      </c>
      <c r="M396" s="1" t="s">
        <v>1726</v>
      </c>
      <c r="N396" s="1" t="str">
        <f ca="1">IFERROR(__xludf.DUMMYFUNCTION("CONCAT(LEFT(REGEXREPLACE(AX396, ""[^A-Za-z0-9]"", """"), 20), TEXT(ROW(AX396)-1, ""000""))"),"MitigatingUnwantedBi395")</f>
        <v>MitigatingUnwantedBi395</v>
      </c>
      <c r="W396" s="1" t="s">
        <v>64</v>
      </c>
      <c r="AL396" s="1" t="s">
        <v>1727</v>
      </c>
      <c r="AO396" s="1" t="s">
        <v>79</v>
      </c>
      <c r="AP396" s="1" t="s">
        <v>1728</v>
      </c>
      <c r="AX396" s="1" t="s">
        <v>1729</v>
      </c>
      <c r="BC396" s="1">
        <v>2018</v>
      </c>
    </row>
    <row r="397" spans="5:55" ht="13" x14ac:dyDescent="0.15">
      <c r="G397" s="1" t="s">
        <v>1730</v>
      </c>
      <c r="M397" s="1" t="s">
        <v>63</v>
      </c>
      <c r="N397" s="1" t="str">
        <f ca="1">IFERROR(__xludf.DUMMYFUNCTION("CONCAT(LEFT(REGEXREPLACE(AX397, ""[^A-Za-z0-9]"", """"), 20), TEXT(ROW(AX397)-1, ""000""))"),"ModelCardsforModelRe396")</f>
        <v>ModelCardsforModelRe396</v>
      </c>
      <c r="W397" s="1" t="s">
        <v>64</v>
      </c>
      <c r="AP397" s="1" t="s">
        <v>1731</v>
      </c>
      <c r="AX397" s="1" t="s">
        <v>1732</v>
      </c>
      <c r="AZ397" s="2" t="s">
        <v>1733</v>
      </c>
      <c r="BC397" s="1">
        <v>2019</v>
      </c>
    </row>
    <row r="398" spans="5:55" ht="13" x14ac:dyDescent="0.15">
      <c r="G398" s="1" t="s">
        <v>1734</v>
      </c>
      <c r="M398" s="1" t="s">
        <v>1735</v>
      </c>
      <c r="N398" s="1" t="str">
        <f ca="1">IFERROR(__xludf.DUMMYFUNCTION("CONCAT(LEFT(REGEXREPLACE(AX398, ""[^A-Za-z0-9]"", """"), 20), TEXT(ROW(AX398)-1, ""000""))"),"ModelDBASystemforMac397")</f>
        <v>ModelDBASystemforMac397</v>
      </c>
      <c r="W398" s="1" t="s">
        <v>64</v>
      </c>
      <c r="AL398" s="1" t="s">
        <v>1736</v>
      </c>
      <c r="AO398" s="1" t="s">
        <v>79</v>
      </c>
      <c r="AP398" s="1">
        <v>14</v>
      </c>
      <c r="AX398" s="1" t="s">
        <v>1737</v>
      </c>
      <c r="BC398" s="1">
        <v>2016</v>
      </c>
    </row>
    <row r="399" spans="5:55" ht="13" x14ac:dyDescent="0.15">
      <c r="G399" s="1" t="s">
        <v>239</v>
      </c>
      <c r="N399" s="1" t="str">
        <f ca="1">IFERROR(__xludf.DUMMYFUNCTION("CONCAT(LEFT(REGEXREPLACE(AX399, ""[^A-Za-z0-9]"", """"), 20), TEXT(ROW(AX399)-1, ""000""))"),"ModelRiskManagementG398")</f>
        <v>ModelRiskManagementG398</v>
      </c>
      <c r="S399" s="1">
        <v>20</v>
      </c>
      <c r="W399" s="1" t="s">
        <v>86</v>
      </c>
      <c r="AA399" s="1" t="s">
        <v>240</v>
      </c>
      <c r="AK399" s="1" t="s">
        <v>609</v>
      </c>
      <c r="AM399" s="1" t="s">
        <v>1738</v>
      </c>
      <c r="AX399" s="1" t="s">
        <v>1739</v>
      </c>
      <c r="AY399" s="1" t="s">
        <v>1740</v>
      </c>
      <c r="AZ399" s="2" t="s">
        <v>1741</v>
      </c>
      <c r="BC399" s="1">
        <v>2013</v>
      </c>
    </row>
    <row r="400" spans="5:55" ht="13" x14ac:dyDescent="0.15">
      <c r="G400" s="1" t="s">
        <v>1742</v>
      </c>
      <c r="M400" s="1" t="s">
        <v>1743</v>
      </c>
      <c r="N400" s="1" t="str">
        <f ca="1">IFERROR(__xludf.DUMMYFUNCTION("CONCAT(LEFT(REGEXREPLACE(AX400, ""[^A-Za-z0-9]"", """"), 20), TEXT(ROW(AX400)-1, ""000""))"),"ModeltrackerRedesign399")</f>
        <v>ModeltrackerRedesign399</v>
      </c>
      <c r="W400" s="1" t="s">
        <v>64</v>
      </c>
      <c r="AL400" s="1" t="s">
        <v>1744</v>
      </c>
      <c r="AO400" s="1" t="s">
        <v>79</v>
      </c>
      <c r="AP400" s="1" t="s">
        <v>1745</v>
      </c>
      <c r="AX400" s="1" t="s">
        <v>1746</v>
      </c>
      <c r="BC400" s="1">
        <v>2015</v>
      </c>
    </row>
    <row r="401" spans="3:55" ht="13" x14ac:dyDescent="0.15">
      <c r="G401" s="1" t="s">
        <v>1747</v>
      </c>
      <c r="N401" s="1" t="str">
        <f ca="1">IFERROR(__xludf.DUMMYFUNCTION("CONCAT(LEFT(REGEXREPLACE(AX401, ""[^A-Za-z0-9]"", """"), 20), TEXT(ROW(AX401)-1, ""000""))"),"MonotonicCalibratedI400")</f>
        <v>MonotonicCalibratedI400</v>
      </c>
      <c r="W401" s="1" t="s">
        <v>57</v>
      </c>
      <c r="AF401" s="1" t="s">
        <v>1583</v>
      </c>
      <c r="AL401" s="1" t="s">
        <v>1748</v>
      </c>
      <c r="AM401" s="1">
        <v>1</v>
      </c>
      <c r="AP401" s="1" t="s">
        <v>1749</v>
      </c>
      <c r="AT401" s="1" t="s">
        <v>1750</v>
      </c>
      <c r="AX401" s="1" t="s">
        <v>1751</v>
      </c>
      <c r="BB401" s="1">
        <v>17</v>
      </c>
      <c r="BC401" s="1">
        <v>2016</v>
      </c>
    </row>
    <row r="402" spans="3:55" ht="13" x14ac:dyDescent="0.15">
      <c r="G402" s="1" t="s">
        <v>1752</v>
      </c>
      <c r="N402" s="1" t="str">
        <f ca="1">IFERROR(__xludf.DUMMYFUNCTION("CONCAT(LEFT(REGEXREPLACE(AX402, ""[^A-Za-z0-9]"", """"), 20), TEXT(ROW(AX402)-1, ""000""))"),"Morethanyouveaskedfo401")</f>
        <v>Morethanyouveaskedfo401</v>
      </c>
      <c r="T402" s="1" t="s">
        <v>1753</v>
      </c>
      <c r="W402" s="1" t="s">
        <v>86</v>
      </c>
      <c r="AG402" s="1" t="s">
        <v>1754</v>
      </c>
      <c r="AT402" s="1" t="s">
        <v>91</v>
      </c>
      <c r="AX402" s="1" t="s">
        <v>1755</v>
      </c>
      <c r="AZ402" s="2" t="s">
        <v>1756</v>
      </c>
      <c r="BC402" s="1">
        <v>2023</v>
      </c>
    </row>
    <row r="403" spans="3:55" ht="13" x14ac:dyDescent="0.15">
      <c r="N403" s="1" t="str">
        <f ca="1">IFERROR(__xludf.DUMMYFUNCTION("CONCAT(LEFT(REGEXREPLACE(AX403, ""[^A-Za-z0-9]"", """"), 20), TEXT(ROW(AX403)-1, ""000""))"),"MortgagedataHMDA402")</f>
        <v>MortgagedataHMDA402</v>
      </c>
      <c r="W403" s="1" t="s">
        <v>86</v>
      </c>
      <c r="Z403" s="1" t="s">
        <v>1757</v>
      </c>
      <c r="AL403" s="1" t="s">
        <v>1758</v>
      </c>
      <c r="AX403" s="1" t="s">
        <v>1759</v>
      </c>
    </row>
    <row r="404" spans="3:55" ht="13" x14ac:dyDescent="0.15">
      <c r="G404" s="1" t="s">
        <v>1760</v>
      </c>
      <c r="N404" s="1" t="str">
        <f ca="1">IFERROR(__xludf.DUMMYFUNCTION("CONCAT(LEFT(REGEXREPLACE(AX404, ""[^A-Za-z0-9]"", """"), 20), TEXT(ROW(AX404)-1, ""000""))"),"MultilevelBellTypeIn403")</f>
        <v>MultilevelBellTypeIn403</v>
      </c>
      <c r="T404" s="1" t="s">
        <v>1761</v>
      </c>
      <c r="W404" s="1" t="s">
        <v>57</v>
      </c>
      <c r="AC404" s="1" t="s">
        <v>1762</v>
      </c>
      <c r="AF404" s="1" t="s">
        <v>1763</v>
      </c>
      <c r="AG404" s="1" t="s">
        <v>1764</v>
      </c>
      <c r="AM404" s="1">
        <v>2</v>
      </c>
      <c r="AP404" s="1" t="s">
        <v>1765</v>
      </c>
      <c r="AX404" s="1" t="s">
        <v>1766</v>
      </c>
      <c r="BB404" s="1">
        <v>24</v>
      </c>
      <c r="BC404" s="1">
        <v>2015</v>
      </c>
    </row>
    <row r="405" spans="3:55" ht="13" x14ac:dyDescent="0.15">
      <c r="G405" s="1" t="s">
        <v>1767</v>
      </c>
      <c r="N405" s="1" t="str">
        <f ca="1">IFERROR(__xludf.DUMMYFUNCTION("CONCAT(LEFT(REGEXREPLACE(AX405, ""[^A-Za-z0-9]"", """"), 20), TEXT(ROW(AX405)-1, ""000""))"),"MultivariateAdaptive404")</f>
        <v>MultivariateAdaptive404</v>
      </c>
      <c r="W405" s="1" t="s">
        <v>57</v>
      </c>
      <c r="AF405" s="1" t="s">
        <v>1278</v>
      </c>
      <c r="AL405" s="1" t="s">
        <v>1768</v>
      </c>
      <c r="AM405" s="1">
        <v>1</v>
      </c>
      <c r="AP405" s="1" t="s">
        <v>1026</v>
      </c>
      <c r="AT405" s="1" t="s">
        <v>1769</v>
      </c>
      <c r="AX405" s="1" t="s">
        <v>1770</v>
      </c>
      <c r="BB405" s="1">
        <v>19</v>
      </c>
      <c r="BC405" s="1">
        <v>1991</v>
      </c>
    </row>
    <row r="406" spans="3:55" ht="13" x14ac:dyDescent="0.15">
      <c r="G406" s="1" t="s">
        <v>1771</v>
      </c>
      <c r="N406" s="1" t="str">
        <f ca="1">IFERROR(__xludf.DUMMYFUNCTION("CONCAT(LEFT(REGEXREPLACE(AX406, ""[^A-Za-z0-9]"", """"), 20), TEXT(ROW(AX406)-1, ""000""))"),"NASASystemsEngineeri405")</f>
        <v>NASASystemsEngineeri405</v>
      </c>
      <c r="W406" s="1" t="s">
        <v>95</v>
      </c>
      <c r="AX406" s="1" t="s">
        <v>1772</v>
      </c>
      <c r="AZ406" t="s">
        <v>2722</v>
      </c>
      <c r="BC406" s="1">
        <v>2017</v>
      </c>
    </row>
    <row r="407" spans="3:55" ht="13" x14ac:dyDescent="0.15">
      <c r="C407" s="1" t="s">
        <v>1773</v>
      </c>
      <c r="G407" s="1" t="s">
        <v>1774</v>
      </c>
      <c r="M407" s="1" t="s">
        <v>1775</v>
      </c>
      <c r="N407" s="1" t="str">
        <f ca="1">IFERROR(__xludf.DUMMYFUNCTION("CONCAT(LEFT(REGEXREPLACE(AX407, ""[^A-Za-z0-9]"", """"), 20), TEXT(ROW(AX407)-1, ""000""))"),"NeMoGuardrailsAToolk406")</f>
        <v>NeMoGuardrailsAToolk406</v>
      </c>
      <c r="T407" s="1" t="s">
        <v>1776</v>
      </c>
      <c r="V407" s="1" t="s">
        <v>1777</v>
      </c>
      <c r="W407" s="1" t="s">
        <v>64</v>
      </c>
      <c r="AK407" s="1" t="s">
        <v>241</v>
      </c>
      <c r="AP407" s="1" t="s">
        <v>1778</v>
      </c>
      <c r="AT407" s="1" t="s">
        <v>893</v>
      </c>
      <c r="AX407" s="1" t="s">
        <v>1779</v>
      </c>
      <c r="AZ407" s="2" t="s">
        <v>1780</v>
      </c>
      <c r="BC407" s="1">
        <v>2023</v>
      </c>
    </row>
    <row r="408" spans="3:55" ht="13" x14ac:dyDescent="0.15">
      <c r="G408" s="1" t="s">
        <v>1781</v>
      </c>
      <c r="N408" s="1" t="str">
        <f ca="1">IFERROR(__xludf.DUMMYFUNCTION("CONCAT(LEFT(REGEXREPLACE(AX408, ""[^A-Za-z0-9]"", """"), 20), TEXT(ROW(AX408)-1, ""000""))"),"NeuralAdditiveModels407")</f>
        <v>NeuralAdditiveModels407</v>
      </c>
      <c r="W408" s="1" t="s">
        <v>57</v>
      </c>
      <c r="AF408" s="1" t="s">
        <v>447</v>
      </c>
      <c r="AL408" s="1" t="s">
        <v>1782</v>
      </c>
      <c r="AP408" s="1" t="s">
        <v>1783</v>
      </c>
      <c r="AX408" s="1" t="s">
        <v>1784</v>
      </c>
      <c r="BB408" s="1">
        <v>34</v>
      </c>
      <c r="BC408" s="1">
        <v>2021</v>
      </c>
    </row>
    <row r="409" spans="3:55" ht="13" x14ac:dyDescent="0.15">
      <c r="G409" s="1" t="s">
        <v>1785</v>
      </c>
      <c r="N409" s="1" t="str">
        <f ca="1">IFERROR(__xludf.DUMMYFUNCTION("CONCAT(LEFT(REGEXREPLACE(AX409, ""[^A-Za-z0-9]"", """"), 20), TEXT(ROW(AX409)-1, ""000""))"),"NewandImprovedEmbedd408")</f>
        <v>NewandImprovedEmbedd408</v>
      </c>
      <c r="W409" s="1" t="s">
        <v>86</v>
      </c>
      <c r="AX409" s="1" t="s">
        <v>1786</v>
      </c>
      <c r="AZ409" s="2" t="s">
        <v>1787</v>
      </c>
      <c r="BC409" s="1">
        <v>2022</v>
      </c>
    </row>
    <row r="410" spans="3:55" ht="13" x14ac:dyDescent="0.15">
      <c r="G410" s="1" t="s">
        <v>1788</v>
      </c>
      <c r="N410" s="1" t="str">
        <f ca="1">IFERROR(__xludf.DUMMYFUNCTION("CONCAT(LEFT(REGEXREPLACE(AX410, ""[^A-Za-z0-9]"", """"), 20), TEXT(ROW(AX410)-1, ""000""))"),"NISTAI1003TheLanguag409")</f>
        <v>NISTAI1003TheLanguag409</v>
      </c>
      <c r="W410" s="1" t="s">
        <v>86</v>
      </c>
      <c r="AT410" s="1" t="s">
        <v>157</v>
      </c>
      <c r="AX410" s="1" t="s">
        <v>1789</v>
      </c>
      <c r="AZ410" s="2" t="s">
        <v>1790</v>
      </c>
      <c r="BC410" s="1">
        <v>2023</v>
      </c>
    </row>
    <row r="411" spans="3:55" ht="13" x14ac:dyDescent="0.15">
      <c r="C411" s="1"/>
      <c r="G411" s="1"/>
      <c r="N411" s="1"/>
      <c r="S411" s="1"/>
      <c r="W411" s="1"/>
      <c r="AK411" s="1"/>
      <c r="AM411" s="1"/>
      <c r="AX411" s="1"/>
      <c r="BC411" s="1"/>
    </row>
    <row r="412" spans="3:55" ht="13" x14ac:dyDescent="0.15">
      <c r="G412" s="1" t="s">
        <v>1791</v>
      </c>
      <c r="M412" s="1" t="s">
        <v>1792</v>
      </c>
      <c r="N412" s="1" t="str">
        <f ca="1">IFERROR(__xludf.DUMMYFUNCTION("CONCAT(LEFT(REGEXREPLACE(AX412, ""[^A-Za-z0-9]"", """"), 20), TEXT(ROW(AX412)-1, ""000""))"),"Notwhatyouvesignedup411")</f>
        <v>Notwhatyouvesignedup411</v>
      </c>
      <c r="W412" s="1" t="s">
        <v>64</v>
      </c>
      <c r="AP412" s="1" t="s">
        <v>1793</v>
      </c>
      <c r="AX412" s="1" t="s">
        <v>1794</v>
      </c>
      <c r="AZ412" s="2" t="s">
        <v>1795</v>
      </c>
      <c r="BC412" s="1">
        <v>2023</v>
      </c>
    </row>
    <row r="414" spans="3:55" ht="13" x14ac:dyDescent="0.15">
      <c r="G414" s="1" t="s">
        <v>236</v>
      </c>
      <c r="N414" s="1" t="str">
        <f ca="1">IFERROR(__xludf.DUMMYFUNCTION("CONCAT(LEFT(REGEXREPLACE(AX414, ""[^A-Za-z0-9]"", """"), 20), TEXT(ROW(AX414)-1, ""000""))"),"OfficialInterpretati413")</f>
        <v>OfficialInterpretati413</v>
      </c>
      <c r="W414" s="1" t="s">
        <v>86</v>
      </c>
      <c r="AA414" s="1" t="s">
        <v>236</v>
      </c>
      <c r="AX414" s="1" t="s">
        <v>1796</v>
      </c>
      <c r="AZ414" s="2" t="s">
        <v>1797</v>
      </c>
      <c r="BC414" s="1">
        <v>2024</v>
      </c>
    </row>
    <row r="415" spans="3:55" ht="13" x14ac:dyDescent="0.15">
      <c r="G415" s="1" t="s">
        <v>1798</v>
      </c>
      <c r="M415" s="1" t="s">
        <v>1799</v>
      </c>
      <c r="N415" s="1" t="str">
        <f ca="1">IFERROR(__xludf.DUMMYFUNCTION("CONCAT(LEFT(REGEXREPLACE(AX415, ""[^A-Za-z0-9]"", """"), 20), TEXT(ROW(AX415)-1, ""000""))"),"Onamathematicalsymbo414")</f>
        <v>Onamathematicalsymbo414</v>
      </c>
      <c r="W415" s="1" t="s">
        <v>64</v>
      </c>
      <c r="AM415" s="1">
        <v>4</v>
      </c>
      <c r="AP415" s="1" t="s">
        <v>1800</v>
      </c>
      <c r="AX415" s="1" t="s">
        <v>1801</v>
      </c>
      <c r="AZ415" t="s">
        <v>2785</v>
      </c>
      <c r="BB415" s="1">
        <v>113</v>
      </c>
      <c r="BC415" s="1">
        <v>1957</v>
      </c>
    </row>
    <row r="416" spans="3:55" ht="13" x14ac:dyDescent="0.15">
      <c r="G416" s="1" t="s">
        <v>1802</v>
      </c>
      <c r="N416" s="1" t="str">
        <f ca="1">IFERROR(__xludf.DUMMYFUNCTION("CONCAT(LEFT(REGEXREPLACE(AX416, ""[^A-Za-z0-9]"", """"), 20), TEXT(ROW(AX416)-1, ""000""))"),"Onreleasingannotator415")</f>
        <v>Onreleasingannotator415</v>
      </c>
      <c r="W416" s="1" t="s">
        <v>57</v>
      </c>
      <c r="AF416" s="1" t="s">
        <v>1803</v>
      </c>
      <c r="AX416" s="1" t="s">
        <v>1804</v>
      </c>
      <c r="AZ416" t="s">
        <v>2786</v>
      </c>
      <c r="BC416" s="1">
        <v>2021</v>
      </c>
    </row>
    <row r="417" spans="3:55" ht="13" x14ac:dyDescent="0.15">
      <c r="G417" s="1" t="s">
        <v>1011</v>
      </c>
      <c r="M417" s="1" t="s">
        <v>1805</v>
      </c>
      <c r="N417" s="1" t="str">
        <f ca="1">IFERROR(__xludf.DUMMYFUNCTION("CONCAT(LEFT(REGEXREPLACE(AX417, ""[^A-Za-z0-9]"", """"), 20), TEXT(ROW(AX417)-1, ""000""))"),"OntheArtandScienceof416")</f>
        <v>OntheArtandScienceof416</v>
      </c>
      <c r="W417" s="1" t="s">
        <v>64</v>
      </c>
      <c r="AL417" s="1" t="s">
        <v>1806</v>
      </c>
      <c r="AX417" s="1" t="s">
        <v>1807</v>
      </c>
      <c r="BC417" s="1">
        <v>2019</v>
      </c>
    </row>
    <row r="418" spans="3:55" ht="13" x14ac:dyDescent="0.15">
      <c r="G418" s="1" t="s">
        <v>1808</v>
      </c>
      <c r="M418" s="1" t="s">
        <v>1692</v>
      </c>
      <c r="N418" s="1" t="str">
        <f ca="1">IFERROR(__xludf.DUMMYFUNCTION("CONCAT(LEFT(REGEXREPLACE(AX418, ""[^A-Za-z0-9]"", """"), 20), TEXT(ROW(AX418)-1, ""000""))"),"Onthedangersofstocha417")</f>
        <v>Onthedangersofstocha417</v>
      </c>
      <c r="W418" s="1" t="s">
        <v>64</v>
      </c>
      <c r="AP418" s="1" t="s">
        <v>1809</v>
      </c>
      <c r="AX418" s="1" t="s">
        <v>1810</v>
      </c>
      <c r="AZ418" t="s">
        <v>2787</v>
      </c>
      <c r="BC418" s="1">
        <v>2021</v>
      </c>
    </row>
    <row r="419" spans="3:55" ht="13" x14ac:dyDescent="0.15">
      <c r="G419" s="1" t="s">
        <v>1811</v>
      </c>
      <c r="L419" s="2" t="s">
        <v>1812</v>
      </c>
      <c r="N419" s="1" t="str">
        <f ca="1">IFERROR(__xludf.DUMMYFUNCTION("CONCAT(LEFT(REGEXREPLACE(AX419, ""[^A-Za-z0-9]"", """"), 20), TEXT(ROW(AX419)-1, ""000""))"),"Ontheimportanceofini418")</f>
        <v>Ontheimportanceofini418</v>
      </c>
      <c r="W419" s="1" t="s">
        <v>57</v>
      </c>
      <c r="AX419" s="1" t="s">
        <v>1813</v>
      </c>
      <c r="AZ419" s="2" t="s">
        <v>1812</v>
      </c>
      <c r="BC419" s="1">
        <v>2014</v>
      </c>
    </row>
    <row r="420" spans="3:55" ht="13" x14ac:dyDescent="0.15">
      <c r="E420" s="1" t="s">
        <v>91</v>
      </c>
      <c r="G420" s="1" t="s">
        <v>1814</v>
      </c>
      <c r="N420" s="1" t="str">
        <f ca="1">IFERROR(__xludf.DUMMYFUNCTION("CONCAT(LEFT(REGEXREPLACE(AX420, ""[^A-Za-z0-9]"", """"), 20), TEXT(ROW(AX420)-1, ""000""))"),"OntheImpossibleSafet419")</f>
        <v>OntheImpossibleSafet419</v>
      </c>
      <c r="W420" s="1" t="s">
        <v>86</v>
      </c>
      <c r="X420" s="1">
        <v>2209.1525900000001</v>
      </c>
      <c r="AS420" s="1" t="s">
        <v>1538</v>
      </c>
      <c r="AX420" s="1" t="s">
        <v>1815</v>
      </c>
      <c r="AZ420" s="2" t="s">
        <v>1816</v>
      </c>
      <c r="BC420" s="1">
        <v>2023</v>
      </c>
    </row>
    <row r="421" spans="3:55" ht="13" x14ac:dyDescent="0.15">
      <c r="E421" s="1" t="s">
        <v>91</v>
      </c>
      <c r="G421" s="1" t="s">
        <v>1817</v>
      </c>
      <c r="N421" s="1" t="str">
        <f ca="1">IFERROR(__xludf.DUMMYFUNCTION("CONCAT(LEFT(REGEXREPLACE(AX421, ""[^A-Za-z0-9]"", """"), 20), TEXT(ROW(AX421)-1, ""000""))"),"OpenProblemsandFunda420")</f>
        <v>OpenProblemsandFunda420</v>
      </c>
      <c r="W421" s="1" t="s">
        <v>86</v>
      </c>
      <c r="X421" s="1">
        <v>2307.1521699999998</v>
      </c>
      <c r="AS421" s="2" t="s">
        <v>486</v>
      </c>
      <c r="AX421" s="1" t="s">
        <v>1818</v>
      </c>
      <c r="AZ421" s="2" t="s">
        <v>1819</v>
      </c>
      <c r="BC421" s="1">
        <v>2023</v>
      </c>
    </row>
    <row r="422" spans="3:55" ht="13" x14ac:dyDescent="0.15">
      <c r="G422" s="1" t="s">
        <v>1820</v>
      </c>
      <c r="N422" s="1" t="str">
        <f ca="1">IFERROR(__xludf.DUMMYFUNCTION("CONCAT(LEFT(REGEXREPLACE(AX422, ""[^A-Za-z0-9]"", """"), 20), TEXT(ROW(AX422)-1, ""000""))"),"OpentheBlackBoxDataD421")</f>
        <v>OpentheBlackBoxDataD421</v>
      </c>
      <c r="W422" s="1" t="s">
        <v>57</v>
      </c>
      <c r="AF422" s="1" t="s">
        <v>1821</v>
      </c>
      <c r="AX422" s="1" t="s">
        <v>1822</v>
      </c>
      <c r="AZ422" s="2" t="s">
        <v>1823</v>
      </c>
      <c r="BC422" s="1">
        <v>2018</v>
      </c>
    </row>
    <row r="423" spans="3:55" ht="13" x14ac:dyDescent="0.15">
      <c r="G423" s="1" t="s">
        <v>1824</v>
      </c>
      <c r="N423" s="1" t="str">
        <f ca="1">IFERROR(__xludf.DUMMYFUNCTION("CONCAT(LEFT(REGEXREPLACE(AX423, ""[^A-Za-z0-9]"", """"), 20), TEXT(ROW(AX423)-1, ""000""))"),"OpenAIsPoliciesHinde422")</f>
        <v>OpenAIsPoliciesHinde422</v>
      </c>
      <c r="W423" s="1" t="s">
        <v>86</v>
      </c>
      <c r="Z423" s="1" t="s">
        <v>1825</v>
      </c>
      <c r="AX423" s="1" t="s">
        <v>1826</v>
      </c>
      <c r="BC423" s="1">
        <v>2023</v>
      </c>
    </row>
    <row r="424" spans="3:55" ht="13" x14ac:dyDescent="0.15">
      <c r="G424" s="1" t="s">
        <v>1827</v>
      </c>
      <c r="N424" s="1" t="str">
        <f ca="1">IFERROR(__xludf.DUMMYFUNCTION("CONCAT(LEFT(REGEXREPLACE(AX424, ""[^A-Za-z0-9]"", """"), 20), TEXT(ROW(AX424)-1, ""000""))"),"OptimalSparseDecisio423")</f>
        <v>OptimalSparseDecisio423</v>
      </c>
      <c r="W424" s="1" t="s">
        <v>57</v>
      </c>
      <c r="AF424" s="1" t="s">
        <v>1828</v>
      </c>
      <c r="AL424" s="1" t="s">
        <v>1829</v>
      </c>
      <c r="AX424" s="1" t="s">
        <v>1830</v>
      </c>
      <c r="BC424" s="1">
        <v>2019</v>
      </c>
    </row>
    <row r="425" spans="3:55" ht="13" x14ac:dyDescent="0.15">
      <c r="G425" s="1" t="s">
        <v>1831</v>
      </c>
      <c r="M425" s="1" t="s">
        <v>447</v>
      </c>
      <c r="N425" s="1" t="str">
        <f ca="1">IFERROR(__xludf.DUMMYFUNCTION("CONCAT(LEFT(REGEXREPLACE(AX425, ""[^A-Za-z0-9]"", """"), 20), TEXT(ROW(AX425)-1, ""000""))"),"OptimizedPreprocessi424")</f>
        <v>OptimizedPreprocessi424</v>
      </c>
      <c r="W425" s="1" t="s">
        <v>64</v>
      </c>
      <c r="AL425" s="1" t="s">
        <v>1832</v>
      </c>
      <c r="AP425" s="1" t="s">
        <v>1833</v>
      </c>
      <c r="AX425" s="1" t="s">
        <v>1834</v>
      </c>
      <c r="BC425" s="1">
        <v>2017</v>
      </c>
    </row>
    <row r="426" spans="3:55" ht="13" x14ac:dyDescent="0.15">
      <c r="E426" s="1" t="s">
        <v>91</v>
      </c>
      <c r="G426" s="1" t="s">
        <v>1835</v>
      </c>
      <c r="N426" s="1" t="str">
        <f ca="1">IFERROR(__xludf.DUMMYFUNCTION("CONCAT(LEFT(REGEXREPLACE(AX426, ""[^A-Za-z0-9]"", """"), 20), TEXT(ROW(AX426)-1, ""000""))"),"OvercomingFailuresof425")</f>
        <v>OvercomingFailuresof425</v>
      </c>
      <c r="W426" s="1" t="s">
        <v>86</v>
      </c>
      <c r="X426" s="1">
        <v>2011.1341600000001</v>
      </c>
      <c r="AS426" s="2" t="s">
        <v>152</v>
      </c>
      <c r="AX426" s="1" t="s">
        <v>1836</v>
      </c>
      <c r="AZ426" s="2" t="s">
        <v>1837</v>
      </c>
      <c r="BC426" s="1">
        <v>2020</v>
      </c>
    </row>
    <row r="427" spans="3:55" ht="13" x14ac:dyDescent="0.15">
      <c r="G427" s="1" t="s">
        <v>1838</v>
      </c>
      <c r="N427" s="1" t="str">
        <f ca="1">IFERROR(__xludf.DUMMYFUNCTION("CONCAT(LEFT(REGEXREPLACE(AX427, ""[^A-Za-z0-9]"", """"), 20), TEXT(ROW(AX427)-1, ""000""))"),"OWASPTop10forLargeLa426")</f>
        <v>OWASPTop10forLargeLa426</v>
      </c>
      <c r="W427" s="1" t="s">
        <v>86</v>
      </c>
      <c r="AA427" s="1" t="s">
        <v>1839</v>
      </c>
      <c r="AX427" s="1" t="s">
        <v>1840</v>
      </c>
      <c r="AZ427" s="2" t="s">
        <v>1841</v>
      </c>
      <c r="BC427" s="1">
        <v>2023</v>
      </c>
    </row>
    <row r="428" spans="3:55" ht="13" x14ac:dyDescent="0.15">
      <c r="E428" s="1" t="s">
        <v>91</v>
      </c>
      <c r="G428" s="1" t="s">
        <v>1842</v>
      </c>
      <c r="N428" s="1" t="str">
        <f ca="1">IFERROR(__xludf.DUMMYFUNCTION("CONCAT(LEFT(REGEXREPLACE(AX428, ""[^A-Za-z0-9]"", """"), 20), TEXT(ROW(AX428)-1, ""000""))"),"ParaPOAligningLangua427")</f>
        <v>ParaPOAligningLangua427</v>
      </c>
      <c r="W428" s="1" t="s">
        <v>86</v>
      </c>
      <c r="X428" s="1">
        <v>2504.1445199999998</v>
      </c>
      <c r="AS428" s="2" t="s">
        <v>375</v>
      </c>
      <c r="AX428" s="1" t="s">
        <v>1843</v>
      </c>
      <c r="AZ428" s="2" t="s">
        <v>1844</v>
      </c>
      <c r="BC428" s="1">
        <v>2025</v>
      </c>
    </row>
    <row r="429" spans="3:55" ht="13" x14ac:dyDescent="0.15">
      <c r="C429" s="1" t="s">
        <v>511</v>
      </c>
      <c r="G429" s="1" t="s">
        <v>1845</v>
      </c>
      <c r="N429" s="1" t="str">
        <f ca="1">IFERROR(__xludf.DUMMYFUNCTION("CONCAT(LEFT(REGEXREPLACE(AX429, ""[^A-Za-z0-9]"", """"), 20), TEXT(ROW(AX429)-1, ""000""))"),"ParticipationIsnotaD428")</f>
        <v>ParticipationIsnotaD428</v>
      </c>
      <c r="T429" s="1" t="s">
        <v>1846</v>
      </c>
      <c r="W429" s="1" t="s">
        <v>64</v>
      </c>
      <c r="AB429" s="1">
        <v>9781450394772</v>
      </c>
      <c r="AJ429" s="1" t="s">
        <v>1847</v>
      </c>
      <c r="AT429" s="1" t="s">
        <v>518</v>
      </c>
      <c r="AV429" s="1" t="s">
        <v>1848</v>
      </c>
      <c r="AX429" s="1" t="s">
        <v>1849</v>
      </c>
      <c r="AZ429" s="2" t="s">
        <v>1850</v>
      </c>
      <c r="BC429" s="1">
        <v>2022</v>
      </c>
    </row>
    <row r="430" spans="3:55" ht="13" x14ac:dyDescent="0.15">
      <c r="G430" s="1" t="s">
        <v>1851</v>
      </c>
      <c r="N430" s="1" t="str">
        <f ca="1">IFERROR(__xludf.DUMMYFUNCTION("CONCAT(LEFT(REGEXREPLACE(AX430, ""[^A-Za-z0-9]"", """"), 20), TEXT(ROW(AX430)-1, ""000""))"),"ParticipatoryAIforhu429")</f>
        <v>ParticipatoryAIforhu429</v>
      </c>
      <c r="W430" s="1" t="s">
        <v>57</v>
      </c>
      <c r="AF430" s="1" t="s">
        <v>1852</v>
      </c>
      <c r="AX430" s="1" t="s">
        <v>1853</v>
      </c>
      <c r="AZ430" s="2" t="s">
        <v>1854</v>
      </c>
      <c r="BC430" s="1">
        <v>2021</v>
      </c>
    </row>
    <row r="431" spans="3:55" ht="13" x14ac:dyDescent="0.15">
      <c r="G431" s="1" t="s">
        <v>1855</v>
      </c>
      <c r="N431" s="1" t="str">
        <f ca="1">IFERROR(__xludf.DUMMYFUNCTION("CONCAT(LEFT(REGEXREPLACE(AX431, ""[^A-Za-z0-9]"", """"), 20), TEXT(ROW(AX431)-1, ""000""))"),"PatternRecognitionan430")</f>
        <v>PatternRecognitionan430</v>
      </c>
      <c r="W431" s="1" t="s">
        <v>69</v>
      </c>
      <c r="AM431" s="1">
        <v>4</v>
      </c>
      <c r="AT431" s="1" t="s">
        <v>193</v>
      </c>
      <c r="AX431" s="1" t="s">
        <v>1856</v>
      </c>
      <c r="AZ431" s="2" t="s">
        <v>1857</v>
      </c>
      <c r="BB431" s="1">
        <v>4</v>
      </c>
      <c r="BC431" s="1">
        <v>2006</v>
      </c>
    </row>
    <row r="432" spans="3:55" ht="13" x14ac:dyDescent="0.15">
      <c r="G432" s="1" t="s">
        <v>1858</v>
      </c>
      <c r="N432" s="1" t="str">
        <f ca="1">IFERROR(__xludf.DUMMYFUNCTION("CONCAT(LEFT(REGEXREPLACE(AX432, ""[^A-Za-z0-9]"", """"), 20), TEXT(ROW(AX432)-1, ""000""))"),"PeekingInsidetheBlac431")</f>
        <v>PeekingInsidetheBlac431</v>
      </c>
      <c r="W432" s="1" t="s">
        <v>57</v>
      </c>
      <c r="AF432" s="1" t="s">
        <v>58</v>
      </c>
      <c r="AL432" s="1" t="s">
        <v>1859</v>
      </c>
      <c r="AM432" s="1">
        <v>1</v>
      </c>
      <c r="AX432" s="1" t="s">
        <v>1860</v>
      </c>
      <c r="BB432" s="1">
        <v>24</v>
      </c>
      <c r="BC432" s="1">
        <v>2015</v>
      </c>
    </row>
    <row r="433" spans="3:55" ht="13" x14ac:dyDescent="0.15">
      <c r="G433" s="1" t="s">
        <v>1861</v>
      </c>
      <c r="N433" s="1" t="str">
        <f ca="1">IFERROR(__xludf.DUMMYFUNCTION("CONCAT(LEFT(REGEXREPLACE(AX433, ""[^A-Za-z0-9]"", """"), 20), TEXT(ROW(AX433)-1, ""000""))"),"PEFTStateoftheartPar432")</f>
        <v>PEFTStateoftheartPar432</v>
      </c>
      <c r="W433" s="1" t="s">
        <v>86</v>
      </c>
      <c r="Z433" s="1" t="s">
        <v>1862</v>
      </c>
      <c r="AX433" s="1" t="s">
        <v>1863</v>
      </c>
      <c r="BC433" s="1">
        <v>2022</v>
      </c>
    </row>
    <row r="434" spans="3:55" ht="13" x14ac:dyDescent="0.15">
      <c r="G434" s="1" t="s">
        <v>1864</v>
      </c>
      <c r="N434" s="1" t="str">
        <f ca="1">IFERROR(__xludf.DUMMYFUNCTION("CONCAT(LEFT(REGEXREPLACE(AX434, ""[^A-Za-z0-9]"", """"), 20), TEXT(ROW(AX434)-1, ""000""))"),"PeopleAIGuidebook433")</f>
        <v>PeopleAIGuidebook433</v>
      </c>
      <c r="W434" s="1" t="s">
        <v>86</v>
      </c>
      <c r="Z434" s="1" t="s">
        <v>1865</v>
      </c>
      <c r="AL434" s="1" t="s">
        <v>1866</v>
      </c>
      <c r="AX434" s="1" t="s">
        <v>1867</v>
      </c>
      <c r="BC434" s="1">
        <v>2019</v>
      </c>
    </row>
    <row r="435" spans="3:55" ht="13" x14ac:dyDescent="0.15">
      <c r="G435" s="1" t="s">
        <v>1868</v>
      </c>
      <c r="N435" s="1" t="str">
        <f ca="1">IFERROR(__xludf.DUMMYFUNCTION("CONCAT(LEFT(REGEXREPLACE(AX435, ""[^A-Za-z0-9]"", """"), 20), TEXT(ROW(AX435)-1, ""000""))"),"PhysicsforScientists434")</f>
        <v>PhysicsforScientists434</v>
      </c>
      <c r="U435" s="1">
        <v>4</v>
      </c>
      <c r="W435" s="1" t="s">
        <v>69</v>
      </c>
      <c r="AB435" s="1">
        <v>9780131495081</v>
      </c>
      <c r="AI435" s="1">
        <v>2006039431</v>
      </c>
      <c r="AP435" s="1" t="s">
        <v>1869</v>
      </c>
      <c r="AT435" s="1" t="s">
        <v>1673</v>
      </c>
      <c r="AX435" s="1" t="s">
        <v>1870</v>
      </c>
      <c r="AZ435" t="s">
        <v>2788</v>
      </c>
      <c r="BC435" s="1">
        <v>2008</v>
      </c>
    </row>
    <row r="436" spans="3:55" ht="13" x14ac:dyDescent="0.15">
      <c r="G436" s="1" t="s">
        <v>1871</v>
      </c>
      <c r="N436" s="1" t="str">
        <f ca="1">IFERROR(__xludf.DUMMYFUNCTION("CONCAT(LEFT(REGEXREPLACE(AX436, ""[^A-Za-z0-9]"", """"), 20), TEXT(ROW(AX436)-1, ""000""))"),"Pickingonthesamepers435")</f>
        <v>Pickingonthesamepers435</v>
      </c>
      <c r="W436" s="1" t="s">
        <v>86</v>
      </c>
      <c r="Z436" s="1" t="s">
        <v>1872</v>
      </c>
      <c r="AP436" s="1" t="s">
        <v>1873</v>
      </c>
      <c r="AX436" s="1" t="s">
        <v>1874</v>
      </c>
      <c r="AZ436" s="2" t="s">
        <v>1875</v>
      </c>
      <c r="BC436" s="1">
        <v>2022</v>
      </c>
    </row>
    <row r="437" spans="3:55" ht="13" x14ac:dyDescent="0.15">
      <c r="C437" s="1" t="s">
        <v>1876</v>
      </c>
      <c r="G437" s="1" t="s">
        <v>1877</v>
      </c>
      <c r="M437" s="1" t="s">
        <v>290</v>
      </c>
      <c r="N437" s="1" t="str">
        <f ca="1">IFERROR(__xludf.DUMMYFUNCTION("CONCAT(LEFT(REGEXREPLACE(AX437, ""[^A-Za-z0-9]"", """"), 20), TEXT(ROW(AX437)-1, ""000""))"),"PlagBenchExploringth436")</f>
        <v>PlagBenchExploringth436</v>
      </c>
      <c r="V437" s="1" t="s">
        <v>1878</v>
      </c>
      <c r="W437" s="1" t="s">
        <v>64</v>
      </c>
      <c r="AK437" s="1">
        <v>4</v>
      </c>
      <c r="AT437" s="1" t="s">
        <v>893</v>
      </c>
      <c r="AX437" s="1" t="s">
        <v>1879</v>
      </c>
      <c r="AZ437" s="2" t="s">
        <v>1880</v>
      </c>
      <c r="BC437" s="1">
        <v>2025</v>
      </c>
    </row>
    <row r="438" spans="3:55" ht="13" x14ac:dyDescent="0.15">
      <c r="G438" s="1" t="s">
        <v>1881</v>
      </c>
      <c r="N438" s="1" t="str">
        <f ca="1">IFERROR(__xludf.DUMMYFUNCTION("CONCAT(LEFT(REGEXREPLACE(AX438, ""[^A-Za-z0-9]"", """"), 20), TEXT(ROW(AX438)-1, ""000""))"),"PleaseBePolitetoChat437")</f>
        <v>PleaseBePolitetoChat437</v>
      </c>
      <c r="R438" s="3">
        <v>45498</v>
      </c>
      <c r="W438" s="1" t="s">
        <v>57</v>
      </c>
      <c r="AF438" s="1" t="s">
        <v>1882</v>
      </c>
      <c r="AX438" s="1" t="s">
        <v>1883</v>
      </c>
      <c r="AZ438" s="2" t="s">
        <v>1884</v>
      </c>
    </row>
    <row r="439" spans="3:55" ht="13" x14ac:dyDescent="0.15">
      <c r="G439" s="1" t="s">
        <v>1885</v>
      </c>
      <c r="N439" s="1" t="str">
        <f ca="1">IFERROR(__xludf.DUMMYFUNCTION("CONCAT(LEFT(REGEXREPLACE(AX439, ""[^A-Za-z0-9]"", """"), 20), TEXT(ROW(AX439)-1, ""000""))"),"PleaseStopExplaining438")</f>
        <v>PleaseStopExplaining438</v>
      </c>
      <c r="W439" s="1" t="s">
        <v>57</v>
      </c>
      <c r="AF439" s="1" t="s">
        <v>1886</v>
      </c>
      <c r="AL439" s="1" t="s">
        <v>1887</v>
      </c>
      <c r="AX439" s="1" t="s">
        <v>1888</v>
      </c>
      <c r="BC439" s="1">
        <v>2018</v>
      </c>
    </row>
    <row r="440" spans="3:55" ht="13" x14ac:dyDescent="0.15">
      <c r="G440" s="1" t="s">
        <v>1889</v>
      </c>
      <c r="N440" s="1" t="str">
        <f ca="1">IFERROR(__xludf.DUMMYFUNCTION("CONCAT(LEFT(REGEXREPLACE(AX440, ""[^A-Za-z0-9]"", """"), 20), TEXT(ROW(AX440)-1, ""000""))"),"PMLBAlargebenchmarks439")</f>
        <v>PMLBAlargebenchmarks439</v>
      </c>
      <c r="W440" s="1" t="s">
        <v>57</v>
      </c>
      <c r="AF440" s="1" t="s">
        <v>1890</v>
      </c>
      <c r="AM440" s="1">
        <v>1</v>
      </c>
      <c r="AP440" s="1">
        <v>36</v>
      </c>
      <c r="AT440" s="1" t="s">
        <v>193</v>
      </c>
      <c r="AX440" s="1" t="s">
        <v>1891</v>
      </c>
      <c r="AZ440" t="s">
        <v>2723</v>
      </c>
      <c r="BB440" s="1">
        <v>10</v>
      </c>
      <c r="BC440" s="1">
        <v>2017</v>
      </c>
    </row>
    <row r="441" spans="3:55" ht="13" x14ac:dyDescent="0.15">
      <c r="G441" s="1" t="s">
        <v>1892</v>
      </c>
      <c r="M441" s="1" t="s">
        <v>1592</v>
      </c>
      <c r="N441" s="1" t="str">
        <f ca="1">IFERROR(__xludf.DUMMYFUNCTION("CONCAT(LEFT(REGEXREPLACE(AX441, ""[^A-Za-z0-9]"", """"), 20), TEXT(ROW(AX441)-1, ""000""))"),"Poisoninglanguagemod440")</f>
        <v>Poisoninglanguagemod440</v>
      </c>
      <c r="W441" s="1" t="s">
        <v>108</v>
      </c>
      <c r="AL441" s="1" t="s">
        <v>1893</v>
      </c>
      <c r="AT441" s="1" t="s">
        <v>1120</v>
      </c>
      <c r="AX441" s="1" t="s">
        <v>1894</v>
      </c>
      <c r="AZ441" t="s">
        <v>2789</v>
      </c>
      <c r="BC441" s="1">
        <v>2023</v>
      </c>
    </row>
    <row r="442" spans="3:55" ht="13" x14ac:dyDescent="0.15">
      <c r="E442" s="1" t="s">
        <v>91</v>
      </c>
      <c r="G442" s="1" t="s">
        <v>1895</v>
      </c>
      <c r="N442" s="1" t="str">
        <f ca="1">IFERROR(__xludf.DUMMYFUNCTION("CONCAT(LEFT(REGEXREPLACE(AX442, ""[^A-Za-z0-9]"", """"), 20), TEXT(ROW(AX442)-1, ""000""))"),"PositionEvaluatingGe441")</f>
        <v>PositionEvaluatingGe441</v>
      </c>
      <c r="W442" s="1" t="s">
        <v>86</v>
      </c>
      <c r="X442" s="1">
        <v>2502.0056100000002</v>
      </c>
      <c r="AS442" s="2" t="s">
        <v>152</v>
      </c>
      <c r="AX442" s="1" t="s">
        <v>1896</v>
      </c>
      <c r="AZ442" s="2" t="s">
        <v>1897</v>
      </c>
      <c r="BC442" s="1">
        <v>2025</v>
      </c>
    </row>
    <row r="443" spans="3:55" ht="13" x14ac:dyDescent="0.15">
      <c r="G443" s="1" t="s">
        <v>1898</v>
      </c>
      <c r="M443" s="1" t="s">
        <v>897</v>
      </c>
      <c r="N443" s="1" t="str">
        <f ca="1">IFERROR(__xludf.DUMMYFUNCTION("CONCAT(LEFT(REGEXREPLACE(AX443, ""[^A-Za-z0-9]"", """"), 20), TEXT(ROW(AX443)-1, ""000""))"),"Powerhungryprocessin442")</f>
        <v>Powerhungryprocessin442</v>
      </c>
      <c r="W443" s="1" t="s">
        <v>64</v>
      </c>
      <c r="AP443" s="1" t="s">
        <v>1899</v>
      </c>
      <c r="AX443" s="1" t="s">
        <v>1900</v>
      </c>
      <c r="AZ443" s="2" t="s">
        <v>1901</v>
      </c>
      <c r="BC443" s="1">
        <v>2024</v>
      </c>
    </row>
    <row r="444" spans="3:55" ht="13" x14ac:dyDescent="0.15">
      <c r="C444" s="1" t="s">
        <v>511</v>
      </c>
      <c r="F444" s="1">
        <v>6</v>
      </c>
      <c r="G444" s="1" t="s">
        <v>1902</v>
      </c>
      <c r="M444" s="1" t="s">
        <v>1903</v>
      </c>
      <c r="N444" s="1" t="str">
        <f ca="1">IFERROR(__xludf.DUMMYFUNCTION("CONCAT(LEFT(REGEXREPLACE(AX444, ""[^A-Za-z0-9]"", """"), 20), TEXT(ROW(AX444)-1, ""000""))"),"PowertothePeopleOppo443")</f>
        <v>PowertothePeopleOppo443</v>
      </c>
      <c r="T444" s="1" t="s">
        <v>1904</v>
      </c>
      <c r="W444" s="1" t="s">
        <v>64</v>
      </c>
      <c r="AB444" s="1">
        <v>9781450394772</v>
      </c>
      <c r="AG444" s="1" t="s">
        <v>1905</v>
      </c>
      <c r="AJ444" s="1" t="s">
        <v>1847</v>
      </c>
      <c r="AN444" s="1">
        <v>8</v>
      </c>
      <c r="AT444" s="1" t="s">
        <v>518</v>
      </c>
      <c r="AV444" s="1" t="s">
        <v>1848</v>
      </c>
      <c r="AX444" s="1" t="s">
        <v>1906</v>
      </c>
      <c r="AZ444" s="2" t="s">
        <v>1907</v>
      </c>
      <c r="BC444" s="1">
        <v>2022</v>
      </c>
    </row>
    <row r="445" spans="3:55" ht="13" x14ac:dyDescent="0.15">
      <c r="G445" s="1" t="s">
        <v>1908</v>
      </c>
      <c r="N445" s="1" t="str">
        <f ca="1">IFERROR(__xludf.DUMMYFUNCTION("CONCAT(LEFT(REGEXREPLACE(AX445, ""[^A-Za-z0-9]"", """"), 20), TEXT(ROW(AX445)-1, ""000""))"),"Pragmaticannotationf444")</f>
        <v>Pragmaticannotationf444</v>
      </c>
      <c r="W445" s="1" t="s">
        <v>57</v>
      </c>
      <c r="AF445" s="1" t="s">
        <v>1909</v>
      </c>
      <c r="AM445" s="1">
        <v>3</v>
      </c>
      <c r="AP445" s="1" t="s">
        <v>1910</v>
      </c>
      <c r="AT445" s="1" t="s">
        <v>193</v>
      </c>
      <c r="AX445" s="1" t="s">
        <v>1911</v>
      </c>
      <c r="AZ445" t="s">
        <v>2790</v>
      </c>
      <c r="BB445" s="1">
        <v>2</v>
      </c>
      <c r="BC445" s="1">
        <v>2018</v>
      </c>
    </row>
    <row r="446" spans="3:55" ht="13" x14ac:dyDescent="0.15">
      <c r="G446" s="1" t="s">
        <v>1912</v>
      </c>
      <c r="M446" s="1" t="s">
        <v>1913</v>
      </c>
      <c r="N446" s="1" t="str">
        <f ca="1">IFERROR(__xludf.DUMMYFUNCTION("CONCAT(LEFT(REGEXREPLACE(AX446, ""[^A-Za-z0-9]"", """"), 20), TEXT(ROW(AX446)-1, ""000""))"),"PredictingGoodProbab445")</f>
        <v>PredictingGoodProbab445</v>
      </c>
      <c r="W446" s="1" t="s">
        <v>64</v>
      </c>
      <c r="AL446" s="1" t="s">
        <v>1914</v>
      </c>
      <c r="AO446" s="1" t="s">
        <v>79</v>
      </c>
      <c r="AP446" s="1" t="s">
        <v>1915</v>
      </c>
      <c r="AX446" s="1" t="s">
        <v>1916</v>
      </c>
      <c r="BC446" s="1">
        <v>2005</v>
      </c>
    </row>
    <row r="447" spans="3:55" ht="13" x14ac:dyDescent="0.15">
      <c r="G447" s="1" t="s">
        <v>1917</v>
      </c>
      <c r="N447" s="1" t="str">
        <f ca="1">IFERROR(__xludf.DUMMYFUNCTION("CONCAT(LEFT(REGEXREPLACE(AX447, ""[^A-Za-z0-9]"", """"), 20), TEXT(ROW(AX447)-1, ""000""))"),"PredictiveLearningVi446")</f>
        <v>PredictiveLearningVi446</v>
      </c>
      <c r="W447" s="1" t="s">
        <v>57</v>
      </c>
      <c r="AF447" s="1" t="s">
        <v>1918</v>
      </c>
      <c r="AL447" s="1" t="s">
        <v>1919</v>
      </c>
      <c r="AM447" s="1">
        <v>3</v>
      </c>
      <c r="AP447" s="1" t="s">
        <v>1920</v>
      </c>
      <c r="AT447" s="1" t="s">
        <v>1769</v>
      </c>
      <c r="AX447" s="1" t="s">
        <v>1921</v>
      </c>
      <c r="BB447" s="1">
        <v>2</v>
      </c>
      <c r="BC447" s="1">
        <v>2008</v>
      </c>
    </row>
    <row r="448" spans="3:55" ht="13" x14ac:dyDescent="0.15">
      <c r="G448" s="1" t="s">
        <v>1011</v>
      </c>
      <c r="N448" s="1" t="str">
        <f ca="1">IFERROR(__xludf.DUMMYFUNCTION("CONCAT(LEFT(REGEXREPLACE(AX448, ""[^A-Za-z0-9]"", """"), 20), TEXT(ROW(AX448)-1, ""000""))"),"PredictiveModelingSt447")</f>
        <v>PredictiveModelingSt447</v>
      </c>
      <c r="W448" s="1" t="s">
        <v>86</v>
      </c>
      <c r="AL448" s="1" t="s">
        <v>1922</v>
      </c>
      <c r="AT448" s="1" t="s">
        <v>1923</v>
      </c>
      <c r="AX448" s="1" t="s">
        <v>1924</v>
      </c>
      <c r="BC448" s="1">
        <v>2016</v>
      </c>
    </row>
    <row r="449" spans="3:55" ht="13" x14ac:dyDescent="0.15">
      <c r="G449" s="1" t="s">
        <v>1713</v>
      </c>
      <c r="N449" s="1" t="str">
        <f ca="1">IFERROR(__xludf.DUMMYFUNCTION("CONCAT(LEFT(REGEXREPLACE(AX449, ""[^A-Za-z0-9]"", """"), 20), TEXT(ROW(AX449)-1, ""000""))"),"PresidioDataProtecti448")</f>
        <v>PresidioDataProtecti448</v>
      </c>
      <c r="W449" s="1" t="s">
        <v>86</v>
      </c>
      <c r="Z449" s="1" t="s">
        <v>1925</v>
      </c>
      <c r="AL449" s="1" t="s">
        <v>1926</v>
      </c>
      <c r="AX449" s="1" t="s">
        <v>1927</v>
      </c>
      <c r="AZ449" s="2" t="s">
        <v>1928</v>
      </c>
      <c r="BA449" s="3">
        <v>45907</v>
      </c>
      <c r="BC449" s="1">
        <v>2024</v>
      </c>
    </row>
    <row r="450" spans="3:55" ht="13" x14ac:dyDescent="0.15">
      <c r="E450" s="1" t="s">
        <v>91</v>
      </c>
      <c r="G450" s="1" t="s">
        <v>1929</v>
      </c>
      <c r="N450" s="1" t="str">
        <f ca="1">IFERROR(__xludf.DUMMYFUNCTION("CONCAT(LEFT(REGEXREPLACE(AX450, ""[^A-Za-z0-9]"", """"), 20), TEXT(ROW(AX450)-1, ""000""))"),"PretrainingDataMixtu449")</f>
        <v>PretrainingDataMixtu449</v>
      </c>
      <c r="W450" s="1" t="s">
        <v>86</v>
      </c>
      <c r="X450" s="1">
        <v>2311.0087100000001</v>
      </c>
      <c r="AS450" s="1" t="s">
        <v>1538</v>
      </c>
      <c r="AX450" s="1" t="s">
        <v>1930</v>
      </c>
      <c r="AZ450" s="2" t="s">
        <v>1931</v>
      </c>
      <c r="BC450" s="1">
        <v>2023</v>
      </c>
    </row>
    <row r="451" spans="3:55" ht="13" x14ac:dyDescent="0.15">
      <c r="G451" s="1" t="s">
        <v>1932</v>
      </c>
      <c r="M451" s="1" t="s">
        <v>778</v>
      </c>
      <c r="N451" s="1" t="str">
        <f ca="1">IFERROR(__xludf.DUMMYFUNCTION("CONCAT(LEFT(REGEXREPLACE(AX451, ""[^A-Za-z0-9]"", """"), 20), TEXT(ROW(AX451)-1, ""000""))"),"PreventingRepeatedRe450")</f>
        <v>PreventingRepeatedRe450</v>
      </c>
      <c r="W451" s="1" t="s">
        <v>64</v>
      </c>
      <c r="AM451" s="1">
        <v>17</v>
      </c>
      <c r="AP451" s="1" t="s">
        <v>1933</v>
      </c>
      <c r="AX451" s="1" t="s">
        <v>1934</v>
      </c>
      <c r="AZ451" s="2" t="s">
        <v>1935</v>
      </c>
      <c r="BB451" s="1">
        <v>35</v>
      </c>
      <c r="BC451" s="1">
        <v>2021</v>
      </c>
    </row>
    <row r="452" spans="3:55" ht="13" x14ac:dyDescent="0.15">
      <c r="G452" s="1" t="s">
        <v>1936</v>
      </c>
      <c r="N452" s="1" t="str">
        <f ca="1">IFERROR(__xludf.DUMMYFUNCTION("CONCAT(LEFT(REGEXREPLACE(AX452, ""[^A-Za-z0-9]"", """"), 20), TEXT(ROW(AX452)-1, ""000""))"),"PrimeMinistersetsout451")</f>
        <v>PrimeMinistersetsout451</v>
      </c>
      <c r="W452" s="1" t="s">
        <v>86</v>
      </c>
      <c r="Z452" s="1" t="s">
        <v>1937</v>
      </c>
      <c r="AX452" s="1" t="s">
        <v>1938</v>
      </c>
      <c r="BC452" s="1">
        <v>2025</v>
      </c>
    </row>
    <row r="453" spans="3:55" ht="13" x14ac:dyDescent="0.15">
      <c r="G453" s="1" t="s">
        <v>1939</v>
      </c>
      <c r="N453" s="1" t="str">
        <f ca="1">IFERROR(__xludf.DUMMYFUNCTION("CONCAT(LEFT(REGEXREPLACE(AX453, ""[^A-Za-z0-9]"", """"), 20), TEXT(ROW(AX453)-1, ""000""))"),"PrivacyRisksofExplai452")</f>
        <v>PrivacyRisksofExplai452</v>
      </c>
      <c r="W453" s="1" t="s">
        <v>57</v>
      </c>
      <c r="AF453" s="1" t="s">
        <v>1940</v>
      </c>
      <c r="AL453" s="1" t="s">
        <v>1941</v>
      </c>
      <c r="AX453" s="1" t="s">
        <v>1942</v>
      </c>
      <c r="BC453" s="1">
        <v>2019</v>
      </c>
    </row>
    <row r="454" spans="3:55" ht="13" x14ac:dyDescent="0.15">
      <c r="G454" s="1" t="s">
        <v>1943</v>
      </c>
      <c r="M454" s="1" t="s">
        <v>1944</v>
      </c>
      <c r="N454" s="1" t="str">
        <f ca="1">IFERROR(__xludf.DUMMYFUNCTION("CONCAT(LEFT(REGEXREPLACE(AX454, ""[^A-Za-z0-9]"", """"), 20), TEXT(ROW(AX454)-1, ""000""))"),"PrivacyPreservingDat453")</f>
        <v>PrivacyPreservingDat453</v>
      </c>
      <c r="W454" s="1" t="s">
        <v>64</v>
      </c>
      <c r="AL454" s="1" t="s">
        <v>1945</v>
      </c>
      <c r="AM454" s="1">
        <v>2</v>
      </c>
      <c r="AO454" s="1" t="s">
        <v>79</v>
      </c>
      <c r="AP454" s="1" t="s">
        <v>1946</v>
      </c>
      <c r="AX454" s="1" t="s">
        <v>1947</v>
      </c>
      <c r="BB454" s="1">
        <v>29</v>
      </c>
      <c r="BC454" s="1">
        <v>2000</v>
      </c>
    </row>
    <row r="455" spans="3:55" ht="13" x14ac:dyDescent="0.15">
      <c r="G455" s="1" t="s">
        <v>1948</v>
      </c>
      <c r="N455" s="1" t="str">
        <f ca="1">IFERROR(__xludf.DUMMYFUNCTION("CONCAT(LEFT(REGEXREPLACE(AX455, ""[^A-Za-z0-9]"", """"), 20), TEXT(ROW(AX455)-1, ""000""))"),"ProbabilisticProgram454")</f>
        <v>ProbabilisticProgram454</v>
      </c>
      <c r="W455" s="1" t="s">
        <v>57</v>
      </c>
      <c r="AF455" s="1" t="s">
        <v>1949</v>
      </c>
      <c r="AL455" s="1" t="s">
        <v>1950</v>
      </c>
      <c r="AP455" s="1" t="s">
        <v>1951</v>
      </c>
      <c r="AT455" s="1" t="s">
        <v>1952</v>
      </c>
      <c r="AX455" s="1" t="s">
        <v>1953</v>
      </c>
      <c r="BB455" s="1">
        <v>2</v>
      </c>
      <c r="BC455" s="1">
        <v>2016</v>
      </c>
    </row>
    <row r="456" spans="3:55" ht="13" x14ac:dyDescent="0.15">
      <c r="G456" s="1" t="s">
        <v>1954</v>
      </c>
      <c r="M456" s="1" t="s">
        <v>1955</v>
      </c>
      <c r="N456" s="1" t="str">
        <f ca="1">IFERROR(__xludf.DUMMYFUNCTION("CONCAT(LEFT(REGEXREPLACE(AX456, ""[^A-Za-z0-9]"", """"), 20), TEXT(ROW(AX456)-1, ""000""))"),"Problemsofmonetaryma455")</f>
        <v>Problemsofmonetaryma455</v>
      </c>
      <c r="W456" s="1" t="s">
        <v>108</v>
      </c>
      <c r="AP456" s="1" t="s">
        <v>1956</v>
      </c>
      <c r="AT456" s="1" t="s">
        <v>193</v>
      </c>
      <c r="AX456" s="1" t="s">
        <v>1957</v>
      </c>
      <c r="AZ456" t="s">
        <v>2724</v>
      </c>
      <c r="BC456" s="1">
        <v>1984</v>
      </c>
    </row>
    <row r="457" spans="3:55" ht="13" x14ac:dyDescent="0.15">
      <c r="G457" s="1" t="s">
        <v>1958</v>
      </c>
      <c r="N457" s="1" t="str">
        <f ca="1">IFERROR(__xludf.DUMMYFUNCTION("CONCAT(LEFT(REGEXREPLACE(AX457, ""[^A-Za-z0-9]"", """"), 20), TEXT(ROW(AX457)-1, ""000""))"),"ProblemswithShapleyv456")</f>
        <v>ProblemswithShapleyv456</v>
      </c>
      <c r="W457" s="1" t="s">
        <v>57</v>
      </c>
      <c r="AF457" s="1" t="s">
        <v>1959</v>
      </c>
      <c r="AL457" s="1" t="s">
        <v>1960</v>
      </c>
      <c r="AX457" s="1" t="s">
        <v>1961</v>
      </c>
      <c r="BC457" s="1">
        <v>2020</v>
      </c>
    </row>
    <row r="458" spans="3:55" ht="13" x14ac:dyDescent="0.15">
      <c r="C458" s="1" t="s">
        <v>1962</v>
      </c>
      <c r="N458" s="1" t="str">
        <f ca="1">IFERROR(__xludf.DUMMYFUNCTION("CONCAT(LEFT(REGEXREPLACE(AX458, ""[^A-Za-z0-9]"", """"), 20), TEXT(ROW(AX458)-1, ""000""))"),"Proceedingsofthe60th457")</f>
        <v>Proceedingsofthe60th457</v>
      </c>
      <c r="V458" s="1" t="s">
        <v>1963</v>
      </c>
      <c r="W458" s="1" t="s">
        <v>1964</v>
      </c>
      <c r="AK458" s="1" t="s">
        <v>129</v>
      </c>
      <c r="AT458" s="1" t="s">
        <v>893</v>
      </c>
      <c r="AX458" s="1" t="s">
        <v>1965</v>
      </c>
      <c r="AZ458" s="2" t="s">
        <v>1966</v>
      </c>
      <c r="BC458" s="1">
        <v>2022</v>
      </c>
    </row>
    <row r="459" spans="3:55" ht="13" x14ac:dyDescent="0.15">
      <c r="G459" s="1" t="s">
        <v>1967</v>
      </c>
      <c r="N459" s="1" t="str">
        <f ca="1">IFERROR(__xludf.DUMMYFUNCTION("CONCAT(LEFT(REGEXREPLACE(AX459, ""[^A-Za-z0-9]"", """"), 20), TEXT(ROW(AX459)-1, ""000""))"),"PromptEngineeringGui458")</f>
        <v>PromptEngineeringGui458</v>
      </c>
      <c r="W459" s="1" t="s">
        <v>57</v>
      </c>
      <c r="AF459" s="2" t="s">
        <v>1968</v>
      </c>
      <c r="AK459" s="1">
        <v>12</v>
      </c>
      <c r="AX459" s="1" t="s">
        <v>1969</v>
      </c>
      <c r="BC459" s="1">
        <v>2022</v>
      </c>
    </row>
    <row r="460" spans="3:55" ht="13" x14ac:dyDescent="0.15">
      <c r="G460" s="1" t="s">
        <v>1970</v>
      </c>
      <c r="N460" s="1" t="str">
        <f ca="1">IFERROR(__xludf.DUMMYFUNCTION("CONCAT(LEFT(REGEXREPLACE(AX460, ""[^A-Za-z0-9]"", """"), 20), TEXT(ROW(AX460)-1, ""000""))"),"PromptInjectionattac459")</f>
        <v>PromptInjectionattac459</v>
      </c>
      <c r="W460" s="1" t="s">
        <v>57</v>
      </c>
      <c r="AF460" s="1" t="s">
        <v>1971</v>
      </c>
      <c r="AX460" s="1" t="s">
        <v>1972</v>
      </c>
      <c r="AZ460" s="2" t="s">
        <v>1973</v>
      </c>
      <c r="BC460" s="1">
        <v>2023</v>
      </c>
    </row>
    <row r="461" spans="3:55" ht="13" x14ac:dyDescent="0.15">
      <c r="G461" s="1" t="s">
        <v>1974</v>
      </c>
      <c r="N461" s="1" t="str">
        <f ca="1">IFERROR(__xludf.DUMMYFUNCTION("CONCAT(LEFT(REGEXREPLACE(AX461, ""[^A-Za-z0-9]"", """"), 20), TEXT(ROW(AX461)-1, ""000""))"),"Promptinjectionattac460")</f>
        <v>Promptinjectionattac460</v>
      </c>
      <c r="W461" s="1" t="s">
        <v>86</v>
      </c>
      <c r="AL461" s="1" t="s">
        <v>1975</v>
      </c>
      <c r="AX461" s="1" t="s">
        <v>1976</v>
      </c>
      <c r="AZ461" t="s">
        <v>2791</v>
      </c>
      <c r="BC461" s="1">
        <v>2025</v>
      </c>
    </row>
    <row r="462" spans="3:55" ht="13" x14ac:dyDescent="0.15">
      <c r="G462" s="1" t="s">
        <v>1977</v>
      </c>
      <c r="N462" s="1" t="str">
        <f ca="1">IFERROR(__xludf.DUMMYFUNCTION("CONCAT(LEFT(REGEXREPLACE(AX462, ""[^A-Za-z0-9]"", """"), 20), TEXT(ROW(AX462)-1, ""000""))"),"PromptbenchAunifiedl461")</f>
        <v>PromptbenchAunifiedl461</v>
      </c>
      <c r="W462" s="1" t="s">
        <v>57</v>
      </c>
      <c r="AF462" s="1" t="s">
        <v>310</v>
      </c>
      <c r="AM462" s="1">
        <v>254</v>
      </c>
      <c r="AP462" s="1" t="s">
        <v>1978</v>
      </c>
      <c r="AX462" s="1" t="s">
        <v>1979</v>
      </c>
      <c r="AZ462" t="s">
        <v>2792</v>
      </c>
      <c r="BB462" s="1">
        <v>25</v>
      </c>
      <c r="BC462" s="1">
        <v>2024</v>
      </c>
    </row>
    <row r="463" spans="3:55" ht="13" x14ac:dyDescent="0.15">
      <c r="E463" s="1" t="s">
        <v>91</v>
      </c>
      <c r="G463" s="1" t="s">
        <v>1980</v>
      </c>
      <c r="N463" s="1" t="str">
        <f ca="1">IFERROR(__xludf.DUMMYFUNCTION("CONCAT(LEFT(REGEXREPLACE(AX463, ""[^A-Za-z0-9]"", """"), 20), TEXT(ROW(AX463)-1, ""000""))"),"PromptSourceAnIntegr462")</f>
        <v>PromptSourceAnIntegr462</v>
      </c>
      <c r="W463" s="1" t="s">
        <v>86</v>
      </c>
      <c r="X463" s="1">
        <v>2202.0127900000002</v>
      </c>
      <c r="AS463" s="1" t="s">
        <v>1538</v>
      </c>
      <c r="AX463" s="1" t="s">
        <v>1981</v>
      </c>
      <c r="AZ463" s="2" t="s">
        <v>1982</v>
      </c>
      <c r="BC463" s="1">
        <v>2022</v>
      </c>
    </row>
    <row r="464" spans="3:55" ht="13" x14ac:dyDescent="0.15">
      <c r="G464" s="1" t="s">
        <v>1011</v>
      </c>
      <c r="N464" s="1" t="str">
        <f ca="1">IFERROR(__xludf.DUMMYFUNCTION("CONCAT(LEFT(REGEXREPLACE(AX464, ""[^A-Za-z0-9]"", """"), 20), TEXT(ROW(AX464)-1, ""000""))"),"ProposalsforModelVul463")</f>
        <v>ProposalsforModelVul463</v>
      </c>
      <c r="W464" s="1" t="s">
        <v>86</v>
      </c>
      <c r="AL464" s="1" t="s">
        <v>1983</v>
      </c>
      <c r="AT464" s="1" t="s">
        <v>1923</v>
      </c>
      <c r="AX464" s="1" t="s">
        <v>1984</v>
      </c>
      <c r="BC464" s="1">
        <v>2019</v>
      </c>
    </row>
    <row r="465" spans="3:55" ht="13" x14ac:dyDescent="0.15">
      <c r="G465" s="1" t="s">
        <v>1287</v>
      </c>
      <c r="N465" s="1" t="str">
        <f ca="1">IFERROR(__xludf.DUMMYFUNCTION("CONCAT(LEFT(REGEXREPLACE(AX465, ""[^A-Za-z0-9]"", """"), 20), TEXT(ROW(AX465)-1, ""000""))"),"ProposedGuidelinesfo464")</f>
        <v>ProposedGuidelinesfo464</v>
      </c>
      <c r="W465" s="1" t="s">
        <v>57</v>
      </c>
      <c r="AF465" s="1" t="s">
        <v>1985</v>
      </c>
      <c r="AL465" s="1" t="s">
        <v>1289</v>
      </c>
      <c r="AX465" s="1" t="s">
        <v>1986</v>
      </c>
      <c r="BC465" s="1">
        <v>2019</v>
      </c>
    </row>
    <row r="466" spans="3:55" ht="13" x14ac:dyDescent="0.15">
      <c r="G466" s="1" t="s">
        <v>1987</v>
      </c>
      <c r="L466" s="2" t="s">
        <v>1988</v>
      </c>
      <c r="N466" s="1" t="str">
        <f ca="1">IFERROR(__xludf.DUMMYFUNCTION("CONCAT(LEFT(REGEXREPLACE(AX466, ""[^A-Za-z0-9]"", """"), 20), TEXT(ROW(AX466)-1, ""000""))"),"ProximalAlgorithms465")</f>
        <v>ProximalAlgorithms465</v>
      </c>
      <c r="W466" s="1" t="s">
        <v>57</v>
      </c>
      <c r="AF466" s="1" t="s">
        <v>1989</v>
      </c>
      <c r="AM466" s="1">
        <v>3</v>
      </c>
      <c r="AP466" s="1" t="s">
        <v>1990</v>
      </c>
      <c r="AX466" s="1" t="s">
        <v>1991</v>
      </c>
      <c r="AZ466" s="2" t="s">
        <v>1988</v>
      </c>
      <c r="BB466" s="1">
        <v>1</v>
      </c>
      <c r="BC466" s="1">
        <v>2014</v>
      </c>
    </row>
    <row r="467" spans="3:55" ht="13" x14ac:dyDescent="0.15">
      <c r="G467" s="1" t="s">
        <v>1992</v>
      </c>
      <c r="N467" s="1" t="str">
        <f ca="1">IFERROR(__xludf.DUMMYFUNCTION("CONCAT(LEFT(REGEXREPLACE(AX467, ""[^A-Za-z0-9]"", """"), 20), TEXT(ROW(AX467)-1, ""000""))"),"PsychologicalFoundat466")</f>
        <v>PsychologicalFoundat466</v>
      </c>
      <c r="W467" s="1" t="s">
        <v>57</v>
      </c>
      <c r="AL467" s="1" t="s">
        <v>1993</v>
      </c>
      <c r="AT467" s="1" t="s">
        <v>1994</v>
      </c>
      <c r="AX467" s="1" t="s">
        <v>1995</v>
      </c>
      <c r="BC467" s="1">
        <v>2021</v>
      </c>
    </row>
    <row r="468" spans="3:55" ht="13" x14ac:dyDescent="0.15">
      <c r="E468" s="1" t="s">
        <v>91</v>
      </c>
      <c r="G468" s="1" t="s">
        <v>1996</v>
      </c>
      <c r="N468" s="1" t="str">
        <f ca="1">IFERROR(__xludf.DUMMYFUNCTION("CONCAT(LEFT(REGEXREPLACE(AX468, ""[^A-Za-z0-9]"", """"), 20), TEXT(ROW(AX468)-1, ""000""))"),"PyRITAFrameworkforSe467")</f>
        <v>PyRITAFrameworkforSe467</v>
      </c>
      <c r="W468" s="1" t="s">
        <v>86</v>
      </c>
      <c r="X468" s="1">
        <v>2410.02828</v>
      </c>
      <c r="AS468" s="2" t="s">
        <v>867</v>
      </c>
      <c r="AX468" s="1" t="s">
        <v>1997</v>
      </c>
      <c r="AZ468" s="2" t="s">
        <v>1998</v>
      </c>
      <c r="BC468" s="1">
        <v>2024</v>
      </c>
    </row>
    <row r="469" spans="3:55" ht="13" x14ac:dyDescent="0.15">
      <c r="G469" s="1" t="s">
        <v>932</v>
      </c>
      <c r="N469" s="1" t="str">
        <f ca="1">IFERROR(__xludf.DUMMYFUNCTION("CONCAT(LEFT(REGEXREPLACE(AX469, ""[^A-Za-z0-9]"", """"), 20), TEXT(ROW(AX469)-1, ""000""))"),"Qualitymanagementsys468")</f>
        <v>Qualitymanagementsys468</v>
      </c>
      <c r="W469" s="1" t="s">
        <v>86</v>
      </c>
      <c r="AF469" s="1" t="s">
        <v>1999</v>
      </c>
      <c r="AX469" s="1" t="s">
        <v>2000</v>
      </c>
      <c r="AZ469" s="2" t="s">
        <v>2001</v>
      </c>
      <c r="BC469" s="1">
        <v>2015</v>
      </c>
    </row>
    <row r="470" spans="3:55" ht="13" x14ac:dyDescent="0.15">
      <c r="G470" s="1" t="s">
        <v>2002</v>
      </c>
      <c r="N470" s="1" t="str">
        <f ca="1">IFERROR(__xludf.DUMMYFUNCTION("CONCAT(LEFT(REGEXREPLACE(AX470, ""[^A-Za-z0-9]"", """"), 20), TEXT(ROW(AX470)-1, ""000""))"),"QuantifyingInterpret469")</f>
        <v>QuantifyingInterpret469</v>
      </c>
      <c r="W470" s="1" t="s">
        <v>57</v>
      </c>
      <c r="AF470" s="1" t="s">
        <v>2003</v>
      </c>
      <c r="AL470" s="1" t="s">
        <v>2004</v>
      </c>
      <c r="AX470" s="1" t="s">
        <v>2005</v>
      </c>
      <c r="BC470" s="1">
        <v>2019</v>
      </c>
    </row>
    <row r="471" spans="3:55" ht="13" x14ac:dyDescent="0.15">
      <c r="E471" s="1" t="s">
        <v>91</v>
      </c>
      <c r="G471" s="1" t="s">
        <v>2006</v>
      </c>
      <c r="N471" s="1" t="str">
        <f ca="1">IFERROR(__xludf.DUMMYFUNCTION("CONCAT(LEFT(REGEXREPLACE(AX471, ""[^A-Za-z0-9]"", """"), 20), TEXT(ROW(AX471)-1, ""000""))"),"QuantifyingMemorizat470")</f>
        <v>QuantifyingMemorizat470</v>
      </c>
      <c r="W471" s="1" t="s">
        <v>86</v>
      </c>
      <c r="X471" s="1">
        <v>2202.0764600000002</v>
      </c>
      <c r="AS471" s="1" t="s">
        <v>1538</v>
      </c>
      <c r="AX471" s="1" t="s">
        <v>2007</v>
      </c>
      <c r="AZ471" s="2" t="s">
        <v>2008</v>
      </c>
      <c r="BC471" s="1">
        <v>2023</v>
      </c>
    </row>
    <row r="472" spans="3:55" ht="13" x14ac:dyDescent="0.15">
      <c r="G472" s="1" t="s">
        <v>2009</v>
      </c>
      <c r="N472" s="1" t="str">
        <f ca="1">IFERROR(__xludf.DUMMYFUNCTION("CONCAT(LEFT(REGEXREPLACE(AX472, ""[^A-Za-z0-9]"", """"), 20), TEXT(ROW(AX472)-1, ""000""))"),"Questionablepractice471")</f>
        <v>Questionablepractice471</v>
      </c>
      <c r="W472" s="1" t="s">
        <v>57</v>
      </c>
      <c r="AF472" s="1" t="s">
        <v>2010</v>
      </c>
      <c r="AX472" s="1" t="s">
        <v>2011</v>
      </c>
      <c r="AZ472" t="s">
        <v>2793</v>
      </c>
      <c r="BC472" s="1">
        <v>2024</v>
      </c>
    </row>
    <row r="473" spans="3:55" ht="13" x14ac:dyDescent="0.15">
      <c r="G473" s="1" t="s">
        <v>2012</v>
      </c>
      <c r="L473" s="2" t="s">
        <v>2013</v>
      </c>
      <c r="N473" s="1" t="str">
        <f ca="1">IFERROR(__xludf.DUMMYFUNCTION("CONCAT(LEFT(REGEXREPLACE(AX473, ""[^A-Za-z0-9]"", """"), 20), TEXT(ROW(AX473)-1, ""000""))"),"REnsembleDocumentati472")</f>
        <v>REnsembleDocumentati472</v>
      </c>
      <c r="W473" s="1" t="s">
        <v>86</v>
      </c>
      <c r="AX473" s="1" t="s">
        <v>2014</v>
      </c>
      <c r="AZ473" s="2" t="s">
        <v>2013</v>
      </c>
      <c r="BC473" s="1">
        <v>2014</v>
      </c>
    </row>
    <row r="474" spans="3:55" ht="13" x14ac:dyDescent="0.15">
      <c r="C474" s="1" t="s">
        <v>2015</v>
      </c>
      <c r="G474" s="1" t="s">
        <v>2016</v>
      </c>
      <c r="L474" s="2" t="s">
        <v>2017</v>
      </c>
      <c r="N474" s="1" t="str">
        <f ca="1">IFERROR(__xludf.DUMMYFUNCTION("CONCAT(LEFT(REGEXREPLACE(AX474, ""[^A-Za-z0-9]"", """"), 20), TEXT(ROW(AX474)-1, ""000""))"),"RALanguageandEnviron473")</f>
        <v>RALanguageandEnviron473</v>
      </c>
      <c r="W474" s="1" t="s">
        <v>770</v>
      </c>
      <c r="AO474" s="1" t="s">
        <v>2018</v>
      </c>
      <c r="AX474" s="1" t="s">
        <v>2019</v>
      </c>
      <c r="AZ474" s="2" t="s">
        <v>2017</v>
      </c>
      <c r="BC474" s="1">
        <v>2015</v>
      </c>
    </row>
    <row r="475" spans="3:55" ht="13" x14ac:dyDescent="0.15">
      <c r="E475" s="1" t="s">
        <v>91</v>
      </c>
      <c r="G475" s="1" t="s">
        <v>2020</v>
      </c>
      <c r="N475" s="1" t="str">
        <f ca="1">IFERROR(__xludf.DUMMYFUNCTION("CONCAT(LEFT(REGEXREPLACE(AX475, ""[^A-Za-z0-9]"", """"), 20), TEXT(ROW(AX475)-1, ""000""))"),"RainbowTeamingOpenEn474")</f>
        <v>RainbowTeamingOpenEn474</v>
      </c>
      <c r="W475" s="1" t="s">
        <v>86</v>
      </c>
      <c r="X475" s="1">
        <v>2402.16822</v>
      </c>
      <c r="AS475" s="2" t="s">
        <v>375</v>
      </c>
      <c r="AX475" s="1" t="s">
        <v>2021</v>
      </c>
      <c r="AZ475" s="2" t="s">
        <v>2022</v>
      </c>
      <c r="BC475" s="1">
        <v>2024</v>
      </c>
    </row>
    <row r="476" spans="3:55" ht="13" x14ac:dyDescent="0.15">
      <c r="G476" s="1" t="s">
        <v>2023</v>
      </c>
      <c r="N476" s="1" t="str">
        <f ca="1">IFERROR(__xludf.DUMMYFUNCTION("CONCAT(LEFT(REGEXREPLACE(AX476, ""[^A-Za-z0-9]"", """"), 20), TEXT(ROW(AX476)-1, ""000""))"),"Randomforests475")</f>
        <v>Randomforests475</v>
      </c>
      <c r="W476" s="1" t="s">
        <v>57</v>
      </c>
      <c r="AF476" s="1" t="s">
        <v>2024</v>
      </c>
      <c r="AM476" s="1">
        <v>1</v>
      </c>
      <c r="AX476" s="1" t="s">
        <v>2025</v>
      </c>
      <c r="AZ476" s="2" t="s">
        <v>2026</v>
      </c>
      <c r="BB476" s="1">
        <v>45</v>
      </c>
      <c r="BC476" s="1">
        <v>2001</v>
      </c>
    </row>
    <row r="477" spans="3:55" ht="13" x14ac:dyDescent="0.15">
      <c r="G477" s="1" t="s">
        <v>2027</v>
      </c>
      <c r="L477" s="2" t="s">
        <v>2028</v>
      </c>
      <c r="N477" s="1" t="str">
        <f ca="1">IFERROR(__xludf.DUMMYFUNCTION("CONCAT(LEFT(REGEXREPLACE(AX477, ""[^A-Za-z0-9]"", """"), 20), TEXT(ROW(AX477)-1, ""000""))"),"RandomSearchforHyper476")</f>
        <v>RandomSearchforHyper476</v>
      </c>
      <c r="W477" s="1" t="s">
        <v>57</v>
      </c>
      <c r="AC477" s="1" t="s">
        <v>2029</v>
      </c>
      <c r="AE477" s="11">
        <v>40969</v>
      </c>
      <c r="AF477" s="1" t="s">
        <v>2030</v>
      </c>
      <c r="AK477" s="1" t="s">
        <v>2031</v>
      </c>
      <c r="AN477" s="1">
        <v>25</v>
      </c>
      <c r="AP477" s="1" t="s">
        <v>2032</v>
      </c>
      <c r="AT477" s="2" t="s">
        <v>1586</v>
      </c>
      <c r="AX477" s="1" t="s">
        <v>2033</v>
      </c>
      <c r="AZ477" s="2" t="s">
        <v>2028</v>
      </c>
      <c r="BB477" s="1">
        <v>13</v>
      </c>
      <c r="BC477" s="1">
        <v>2012</v>
      </c>
    </row>
    <row r="478" spans="3:55" ht="13" x14ac:dyDescent="0.15">
      <c r="G478" s="1" t="s">
        <v>2034</v>
      </c>
      <c r="N478" s="1" t="str">
        <f ca="1">IFERROR(__xludf.DUMMYFUNCTION("CONCAT(LEFT(REGEXREPLACE(AX478, ""[^A-Za-z0-9]"", """"), 20), TEXT(ROW(AX478)-1, ""000""))"),"ReevaluatingGPT4sbar477")</f>
        <v>ReevaluatingGPT4sbar477</v>
      </c>
      <c r="W478" s="1" t="s">
        <v>57</v>
      </c>
      <c r="AF478" s="1" t="s">
        <v>2035</v>
      </c>
      <c r="AP478" s="1" t="s">
        <v>2036</v>
      </c>
      <c r="AX478" s="1" t="s">
        <v>2037</v>
      </c>
      <c r="AZ478" s="2" t="s">
        <v>2038</v>
      </c>
      <c r="BB478" s="1">
        <v>30</v>
      </c>
      <c r="BC478" s="1">
        <v>2024</v>
      </c>
    </row>
    <row r="479" spans="3:55" ht="13" x14ac:dyDescent="0.15">
      <c r="G479" s="1" t="s">
        <v>2039</v>
      </c>
      <c r="M479" s="1" t="s">
        <v>2040</v>
      </c>
      <c r="N479" s="1" t="str">
        <f ca="1">IFERROR(__xludf.DUMMYFUNCTION("CONCAT(LEFT(REGEXREPLACE(AX479, ""[^A-Za-z0-9]"", """"), 20), TEXT(ROW(AX479)-1, ""000""))"),"REALMLRecognizingExp478")</f>
        <v>REALMLRecognizingExp478</v>
      </c>
      <c r="O479" s="1" t="s">
        <v>2041</v>
      </c>
      <c r="T479" s="1" t="s">
        <v>2042</v>
      </c>
      <c r="W479" s="1" t="s">
        <v>64</v>
      </c>
      <c r="AK479" s="1" t="s">
        <v>407</v>
      </c>
      <c r="AP479" s="1" t="s">
        <v>2043</v>
      </c>
      <c r="AT479" s="1" t="s">
        <v>79</v>
      </c>
      <c r="AV479" s="1" t="s">
        <v>2041</v>
      </c>
      <c r="AX479" s="1" t="s">
        <v>2044</v>
      </c>
      <c r="AZ479" s="2" t="s">
        <v>2045</v>
      </c>
      <c r="BC479" s="1">
        <v>2022</v>
      </c>
    </row>
    <row r="480" spans="3:55" ht="13" x14ac:dyDescent="0.15">
      <c r="G480" s="1" t="s">
        <v>1011</v>
      </c>
      <c r="N480" s="1" t="str">
        <f ca="1">IFERROR(__xludf.DUMMYFUNCTION("CONCAT(LEFT(REGEXREPLACE(AX480, ""[^A-Za-z0-9]"", """"), 20), TEXT(ROW(AX480)-1, ""000""))"),"RealworldStrategiesf479")</f>
        <v>RealworldStrategiesf479</v>
      </c>
      <c r="W480" s="1" t="s">
        <v>86</v>
      </c>
      <c r="AL480" s="1" t="s">
        <v>2046</v>
      </c>
      <c r="AT480" s="1" t="s">
        <v>2047</v>
      </c>
      <c r="AX480" s="1" t="s">
        <v>2048</v>
      </c>
      <c r="BC480" s="1">
        <v>2019</v>
      </c>
    </row>
    <row r="481" spans="1:55" ht="13" x14ac:dyDescent="0.15">
      <c r="G481" s="1" t="s">
        <v>2049</v>
      </c>
      <c r="N481" s="1" t="str">
        <f ca="1">IFERROR(__xludf.DUMMYFUNCTION("CONCAT(LEFT(REGEXREPLACE(AX481, ""[^A-Za-z0-9]"", """"), 20), TEXT(ROW(AX481)-1, ""000""))"),"RealityCheckANewEval480")</f>
        <v>RealityCheckANewEval480</v>
      </c>
      <c r="W481" s="1" t="s">
        <v>57</v>
      </c>
      <c r="AF481" s="1" t="s">
        <v>2050</v>
      </c>
      <c r="AX481" s="1" t="s">
        <v>2051</v>
      </c>
      <c r="AZ481" t="s">
        <v>2725</v>
      </c>
      <c r="BB481" s="1">
        <v>33</v>
      </c>
      <c r="BC481" s="1">
        <v>2025</v>
      </c>
    </row>
    <row r="482" spans="1:55" ht="13" x14ac:dyDescent="0.15">
      <c r="G482" s="1" t="s">
        <v>2052</v>
      </c>
      <c r="M482" s="1" t="s">
        <v>2053</v>
      </c>
      <c r="N482" s="1" t="str">
        <f ca="1">IFERROR(__xludf.DUMMYFUNCTION("CONCAT(LEFT(REGEXREPLACE(AX482, ""[^A-Za-z0-9]"", """"), 20), TEXT(ROW(AX482)-1, ""000""))"),"RealtoxicitypromptsE481")</f>
        <v>RealtoxicitypromptsE481</v>
      </c>
      <c r="W482" s="1" t="s">
        <v>64</v>
      </c>
      <c r="AP482" s="1" t="s">
        <v>2054</v>
      </c>
      <c r="AX482" s="1" t="s">
        <v>2055</v>
      </c>
      <c r="AZ482" s="2" t="s">
        <v>2056</v>
      </c>
      <c r="BC482" s="1">
        <v>2020</v>
      </c>
    </row>
    <row r="483" spans="1:55" ht="13" x14ac:dyDescent="0.15">
      <c r="E483" s="1" t="s">
        <v>91</v>
      </c>
      <c r="G483" s="1" t="s">
        <v>2057</v>
      </c>
      <c r="N483" s="1" t="str">
        <f ca="1">IFERROR(__xludf.DUMMYFUNCTION("CONCAT(LEFT(REGEXREPLACE(AX483, ""[^A-Za-z0-9]"", """"), 20), TEXT(ROW(AX483)-1, ""000""))"),"RedTeamingLanguageMo482")</f>
        <v>RedTeamingLanguageMo482</v>
      </c>
      <c r="W483" s="1" t="s">
        <v>86</v>
      </c>
      <c r="X483" s="1">
        <v>2209.0785799999999</v>
      </c>
      <c r="AS483" s="2" t="s">
        <v>375</v>
      </c>
      <c r="AX483" s="1" t="s">
        <v>2058</v>
      </c>
      <c r="AZ483" s="2" t="s">
        <v>2059</v>
      </c>
      <c r="BC483" s="1">
        <v>2022</v>
      </c>
    </row>
    <row r="484" spans="1:55" ht="13" x14ac:dyDescent="0.15">
      <c r="E484" s="1" t="s">
        <v>91</v>
      </c>
      <c r="G484" s="1" t="s">
        <v>2060</v>
      </c>
      <c r="N484" s="1" t="str">
        <f ca="1">IFERROR(__xludf.DUMMYFUNCTION("CONCAT(LEFT(REGEXREPLACE(AX484, ""[^A-Za-z0-9]"", """"), 20), TEXT(ROW(AX484)-1, ""000""))"),"RedTeamingLanguageMo483")</f>
        <v>RedTeamingLanguageMo483</v>
      </c>
      <c r="W484" s="1" t="s">
        <v>86</v>
      </c>
      <c r="X484" s="1">
        <v>2202.0328599999998</v>
      </c>
      <c r="AS484" s="2" t="s">
        <v>375</v>
      </c>
      <c r="AX484" s="1" t="s">
        <v>2061</v>
      </c>
      <c r="AZ484" s="2" t="s">
        <v>2062</v>
      </c>
      <c r="BC484" s="1">
        <v>2022</v>
      </c>
    </row>
    <row r="485" spans="1:55" ht="13" x14ac:dyDescent="0.15">
      <c r="G485" s="1" t="s">
        <v>2063</v>
      </c>
      <c r="N485" s="1" t="str">
        <f ca="1">IFERROR(__xludf.DUMMYFUNCTION("CONCAT(LEFT(REGEXREPLACE(AX485, ""[^A-Za-z0-9]"", """"), 20), TEXT(ROW(AX485)-1, ""000""))"),"RedTeamingLargeLangu484")</f>
        <v>RedTeamingLargeLangu484</v>
      </c>
      <c r="W485" s="1" t="s">
        <v>86</v>
      </c>
      <c r="Z485" s="1" t="s">
        <v>2064</v>
      </c>
      <c r="AX485" s="1" t="s">
        <v>2065</v>
      </c>
      <c r="BC485" s="1">
        <v>2024</v>
      </c>
    </row>
    <row r="486" spans="1:55" ht="13" x14ac:dyDescent="0.15">
      <c r="G486" s="1" t="s">
        <v>2066</v>
      </c>
      <c r="N486" s="1" t="str">
        <f ca="1">IFERROR(__xludf.DUMMYFUNCTION("CONCAT(LEFT(REGEXREPLACE(AX486, ""[^A-Za-z0-9]"", """"), 20), TEXT(ROW(AX486)-1, ""000""))"),"RedTeamingPastandPre485")</f>
        <v>RedTeamingPastandPre485</v>
      </c>
      <c r="W486" s="1" t="s">
        <v>86</v>
      </c>
      <c r="Z486" s="1" t="s">
        <v>2067</v>
      </c>
      <c r="AX486" s="1" t="s">
        <v>2068</v>
      </c>
      <c r="BC486" s="1">
        <v>2021</v>
      </c>
    </row>
    <row r="487" spans="1:55" ht="13" x14ac:dyDescent="0.15">
      <c r="G487" s="1" t="s">
        <v>2069</v>
      </c>
      <c r="N487" s="1" t="str">
        <f ca="1">IFERROR(__xludf.DUMMYFUNCTION("CONCAT(LEFT(REGEXREPLACE(AX487, ""[^A-Za-z0-9]"", """"), 20), TEXT(ROW(AX487)-1, ""000""))"),"RedTeamingLargeLangu486")</f>
        <v>RedTeamingLargeLangu486</v>
      </c>
      <c r="R487" s="1">
        <v>2023</v>
      </c>
      <c r="W487" s="1" t="s">
        <v>86</v>
      </c>
      <c r="AL487" s="1" t="s">
        <v>2070</v>
      </c>
      <c r="AO487" s="1" t="s">
        <v>2071</v>
      </c>
      <c r="AX487" s="1" t="s">
        <v>2072</v>
      </c>
      <c r="AZ487" s="2" t="s">
        <v>2073</v>
      </c>
    </row>
    <row r="488" spans="1:55" ht="13" x14ac:dyDescent="0.15">
      <c r="G488" s="1" t="s">
        <v>2074</v>
      </c>
      <c r="L488" s="2" t="s">
        <v>2075</v>
      </c>
      <c r="N488" s="1" t="str">
        <f ca="1">IFERROR(__xludf.DUMMYFUNCTION("CONCAT(LEFT(REGEXREPLACE(AX488, ""[^A-Za-z0-9]"", """"), 20), TEXT(ROW(AX488)-1, ""000""))"),"ReducingtheDimension487")</f>
        <v>ReducingtheDimension487</v>
      </c>
      <c r="W488" s="1" t="s">
        <v>57</v>
      </c>
      <c r="AF488" s="1" t="s">
        <v>2076</v>
      </c>
      <c r="AP488" s="1" t="s">
        <v>2077</v>
      </c>
      <c r="AX488" s="1" t="s">
        <v>2078</v>
      </c>
      <c r="AZ488" s="2" t="s">
        <v>2075</v>
      </c>
      <c r="BB488" s="1">
        <v>313</v>
      </c>
      <c r="BC488" s="1">
        <v>2006</v>
      </c>
    </row>
    <row r="489" spans="1:55" ht="13" x14ac:dyDescent="0.15">
      <c r="G489" s="1" t="s">
        <v>2079</v>
      </c>
      <c r="L489" s="2" t="s">
        <v>2080</v>
      </c>
      <c r="N489" s="1" t="str">
        <f ca="1">IFERROR(__xludf.DUMMYFUNCTION("CONCAT(LEFT(REGEXREPLACE(AX489, ""[^A-Za-z0-9]"", """"), 20), TEXT(ROW(AX489)-1, ""000""))"),"RegressionShrinkagea488")</f>
        <v>RegressionShrinkagea488</v>
      </c>
      <c r="W489" s="1" t="s">
        <v>57</v>
      </c>
      <c r="AF489" s="1" t="s">
        <v>2081</v>
      </c>
      <c r="AM489" s="1">
        <v>1</v>
      </c>
      <c r="AP489" s="1" t="s">
        <v>2082</v>
      </c>
      <c r="AX489" s="1" t="s">
        <v>2083</v>
      </c>
      <c r="AZ489" s="2" t="s">
        <v>2080</v>
      </c>
      <c r="BB489" s="1">
        <v>58</v>
      </c>
      <c r="BC489" s="1">
        <v>1996</v>
      </c>
    </row>
    <row r="490" spans="1:55" ht="13" x14ac:dyDescent="0.15">
      <c r="G490" s="1" t="s">
        <v>2084</v>
      </c>
      <c r="N490" s="1" t="str">
        <f ca="1">IFERROR(__xludf.DUMMYFUNCTION("CONCAT(LEFT(REGEXREPLACE(AX490, ""[^A-Za-z0-9]"", """"), 20), TEXT(ROW(AX490)-1, ""000""))"),"Regularizationandvar489")</f>
        <v>Regularizationandvar489</v>
      </c>
      <c r="W490" s="1" t="s">
        <v>57</v>
      </c>
      <c r="AF490" s="1" t="s">
        <v>2085</v>
      </c>
      <c r="AP490" s="1" t="s">
        <v>2086</v>
      </c>
      <c r="AX490" s="1" t="s">
        <v>2087</v>
      </c>
      <c r="AZ490" t="s">
        <v>2794</v>
      </c>
      <c r="BB490" s="1">
        <v>67</v>
      </c>
      <c r="BC490" s="1">
        <v>2005</v>
      </c>
    </row>
    <row r="491" spans="1:55" ht="13" x14ac:dyDescent="0.15">
      <c r="G491" s="1" t="s">
        <v>2088</v>
      </c>
      <c r="L491" s="2" t="s">
        <v>2089</v>
      </c>
      <c r="N491" s="1" t="str">
        <f ca="1">IFERROR(__xludf.DUMMYFUNCTION("CONCAT(LEFT(REGEXREPLACE(AX491, ""[^A-Za-z0-9]"", """"), 20), TEXT(ROW(AX491)-1, ""000""))"),"RegularizationPathsf490")</f>
        <v>RegularizationPathsf490</v>
      </c>
      <c r="W491" s="1" t="s">
        <v>57</v>
      </c>
      <c r="AF491" s="1" t="s">
        <v>2090</v>
      </c>
      <c r="AM491" s="1">
        <v>1</v>
      </c>
      <c r="AX491" s="1" t="s">
        <v>2091</v>
      </c>
      <c r="AZ491" s="2" t="s">
        <v>2089</v>
      </c>
      <c r="BB491" s="1">
        <v>33</v>
      </c>
      <c r="BC491" s="1">
        <v>2009</v>
      </c>
    </row>
    <row r="492" spans="1:55" ht="13" x14ac:dyDescent="0.15">
      <c r="A492" s="1" t="s">
        <v>2092</v>
      </c>
      <c r="C492" s="1" t="s">
        <v>2093</v>
      </c>
      <c r="G492" s="1" t="s">
        <v>2094</v>
      </c>
      <c r="M492" s="1" t="s">
        <v>2095</v>
      </c>
      <c r="N492" s="1" t="str">
        <f ca="1">IFERROR(__xludf.DUMMYFUNCTION("CONCAT(LEFT(REGEXREPLACE(AX492, ""[^A-Za-z0-9]"", """"), 20), TEXT(ROW(AX492)-1, ""000""))"),"RelationalityandOffe491")</f>
        <v>RelationalityandOffe491</v>
      </c>
      <c r="T492" s="1" t="s">
        <v>2096</v>
      </c>
      <c r="V492" s="1" t="s">
        <v>2097</v>
      </c>
      <c r="W492" s="1" t="s">
        <v>64</v>
      </c>
      <c r="AK492" s="1" t="s">
        <v>719</v>
      </c>
      <c r="AP492" s="1" t="s">
        <v>2098</v>
      </c>
      <c r="AT492" s="1" t="s">
        <v>893</v>
      </c>
      <c r="AX492" s="1" t="s">
        <v>2099</v>
      </c>
      <c r="AZ492" s="2" t="s">
        <v>2100</v>
      </c>
      <c r="BC492" s="1">
        <v>2023</v>
      </c>
    </row>
    <row r="493" spans="1:55" ht="13" x14ac:dyDescent="0.15">
      <c r="G493" s="1" t="s">
        <v>2101</v>
      </c>
      <c r="N493" s="1" t="str">
        <f ca="1">IFERROR(__xludf.DUMMYFUNCTION("CONCAT(LEFT(REGEXREPLACE(AX493, ""[^A-Za-z0-9]"", """"), 20), TEXT(ROW(AX493)-1, ""000""))"),"Reliabilityofcontent492")</f>
        <v>Reliabilityofcontent492</v>
      </c>
      <c r="W493" s="1" t="s">
        <v>57</v>
      </c>
      <c r="AF493" s="1" t="s">
        <v>2102</v>
      </c>
      <c r="AP493" s="1" t="s">
        <v>2103</v>
      </c>
      <c r="AT493" s="1" t="s">
        <v>1281</v>
      </c>
      <c r="AX493" s="1" t="s">
        <v>2104</v>
      </c>
      <c r="AZ493" s="2" t="s">
        <v>2105</v>
      </c>
      <c r="BC493" s="1">
        <v>1955</v>
      </c>
    </row>
    <row r="494" spans="1:55" ht="13" x14ac:dyDescent="0.15">
      <c r="G494" s="1" t="s">
        <v>2106</v>
      </c>
      <c r="N494" s="1" t="str">
        <f ca="1">IFERROR(__xludf.DUMMYFUNCTION("CONCAT(LEFT(REGEXREPLACE(AX494, ""[^A-Za-z0-9]"", """"), 20), TEXT(ROW(AX494)-1, ""000""))"),"Relianceonmetricsisa493")</f>
        <v>Relianceonmetricsisa493</v>
      </c>
      <c r="W494" s="1" t="s">
        <v>57</v>
      </c>
      <c r="AF494" s="1" t="s">
        <v>2107</v>
      </c>
      <c r="AM494" s="1">
        <v>5</v>
      </c>
      <c r="AT494" s="1" t="s">
        <v>187</v>
      </c>
      <c r="AX494" s="1" t="s">
        <v>2108</v>
      </c>
      <c r="AZ494" t="s">
        <v>2795</v>
      </c>
      <c r="BB494" s="1">
        <v>3</v>
      </c>
      <c r="BC494" s="1">
        <v>2022</v>
      </c>
    </row>
    <row r="495" spans="1:55" ht="13" x14ac:dyDescent="0.15">
      <c r="G495" s="1" t="s">
        <v>2109</v>
      </c>
      <c r="N495" s="1" t="str">
        <f ca="1">IFERROR(__xludf.DUMMYFUNCTION("CONCAT(LEFT(REGEXREPLACE(AX495, ""[^A-Za-z0-9]"", """"), 20), TEXT(ROW(AX495)-1, ""000""))"),"ResponsibleArtificia494")</f>
        <v>ResponsibleArtificia494</v>
      </c>
      <c r="W495" s="1" t="s">
        <v>86</v>
      </c>
      <c r="AA495" s="1" t="s">
        <v>2110</v>
      </c>
      <c r="AK495" s="1" t="s">
        <v>129</v>
      </c>
      <c r="AX495" s="1" t="s">
        <v>2111</v>
      </c>
      <c r="AZ495" s="2" t="s">
        <v>2112</v>
      </c>
      <c r="BC495" s="1">
        <v>2024</v>
      </c>
    </row>
    <row r="496" spans="1:55" ht="13" x14ac:dyDescent="0.15">
      <c r="G496" s="1" t="s">
        <v>2113</v>
      </c>
      <c r="N496" s="1" t="str">
        <f ca="1">IFERROR(__xludf.DUMMYFUNCTION("CONCAT(LEFT(REGEXREPLACE(AX496, ""[^A-Za-z0-9]"", """"), 20), TEXT(ROW(AX496)-1, ""000""))"),"ResponsibleArtificia495")</f>
        <v>ResponsibleArtificia495</v>
      </c>
      <c r="W496" s="1" t="s">
        <v>69</v>
      </c>
      <c r="AT496" s="1" t="s">
        <v>193</v>
      </c>
      <c r="AX496" s="1" t="s">
        <v>2114</v>
      </c>
      <c r="AZ496" t="s">
        <v>2796</v>
      </c>
      <c r="BC496" s="1">
        <v>2019</v>
      </c>
    </row>
    <row r="497" spans="3:55" ht="13" x14ac:dyDescent="0.15">
      <c r="G497" s="1" t="s">
        <v>2115</v>
      </c>
      <c r="N497" s="1" t="str">
        <f ca="1">IFERROR(__xludf.DUMMYFUNCTION("CONCAT(LEFT(REGEXREPLACE(AX497, ""[^A-Za-z0-9]"", """"), 20), TEXT(ROW(AX497)-1, ""000""))"),"ResponsibleMachineLe496")</f>
        <v>ResponsibleMachineLe496</v>
      </c>
      <c r="W497" s="1" t="s">
        <v>86</v>
      </c>
      <c r="AL497" s="1" t="s">
        <v>2116</v>
      </c>
      <c r="AT497" s="1" t="s">
        <v>337</v>
      </c>
      <c r="AX497" s="1" t="s">
        <v>2117</v>
      </c>
      <c r="BC497" s="1">
        <v>2020</v>
      </c>
    </row>
    <row r="498" spans="3:55" ht="13" x14ac:dyDescent="0.15">
      <c r="G498" s="1" t="s">
        <v>2118</v>
      </c>
      <c r="N498" s="1" t="str">
        <f ca="1">IFERROR(__xludf.DUMMYFUNCTION("CONCAT(LEFT(REGEXREPLACE(AX498, ""[^A-Za-z0-9]"", """"), 20), TEXT(ROW(AX498)-1, ""000""))"),"RetrievalaugmentedGe497")</f>
        <v>RetrievalaugmentedGe497</v>
      </c>
      <c r="W498" s="1" t="s">
        <v>57</v>
      </c>
      <c r="AF498" s="1" t="s">
        <v>447</v>
      </c>
      <c r="AP498" s="1" t="s">
        <v>2119</v>
      </c>
      <c r="AX498" s="1" t="s">
        <v>2120</v>
      </c>
      <c r="AZ498" s="2" t="s">
        <v>2121</v>
      </c>
      <c r="BB498" s="1">
        <v>33</v>
      </c>
      <c r="BC498" s="1">
        <v>2020</v>
      </c>
    </row>
    <row r="499" spans="3:55" ht="13" x14ac:dyDescent="0.15">
      <c r="G499" s="1" t="s">
        <v>2122</v>
      </c>
      <c r="N499" s="1" t="str">
        <f ca="1">IFERROR(__xludf.DUMMYFUNCTION("CONCAT(LEFT(REGEXREPLACE(AX499, ""[^A-Za-z0-9]"", """"), 20), TEXT(ROW(AX499)-1, ""000""))"),"RiskliteracyFoundati498")</f>
        <v>RiskliteracyFoundati498</v>
      </c>
      <c r="W499" s="1" t="s">
        <v>57</v>
      </c>
      <c r="AF499" s="1" t="s">
        <v>2123</v>
      </c>
      <c r="AM499" s="1">
        <v>5</v>
      </c>
      <c r="AP499" s="1" t="s">
        <v>2124</v>
      </c>
      <c r="AT499" s="1" t="s">
        <v>345</v>
      </c>
      <c r="AX499" s="1" t="s">
        <v>2125</v>
      </c>
      <c r="AZ499" t="s">
        <v>2797</v>
      </c>
      <c r="BB499" s="1">
        <v>44</v>
      </c>
      <c r="BC499" s="1">
        <v>2024</v>
      </c>
    </row>
    <row r="500" spans="3:55" ht="13" x14ac:dyDescent="0.15">
      <c r="G500" s="1" t="s">
        <v>2126</v>
      </c>
      <c r="N500" s="1" t="str">
        <f ca="1">IFERROR(__xludf.DUMMYFUNCTION("CONCAT(LEFT(REGEXREPLACE(AX500, ""[^A-Za-z0-9]"", """"), 20), TEXT(ROW(AX500)-1, ""000""))"),"Runningcognitiveeval499")</f>
        <v>Runningcognitiveeval499</v>
      </c>
      <c r="W500" s="1" t="s">
        <v>57</v>
      </c>
      <c r="AF500" s="1" t="s">
        <v>2127</v>
      </c>
      <c r="AX500" s="1" t="s">
        <v>2128</v>
      </c>
      <c r="AZ500" t="s">
        <v>2798</v>
      </c>
      <c r="BC500" s="1">
        <v>2023</v>
      </c>
    </row>
    <row r="501" spans="3:55" ht="13" x14ac:dyDescent="0.15">
      <c r="G501" s="1" t="s">
        <v>2129</v>
      </c>
      <c r="N501" s="1" t="str">
        <f ca="1">IFERROR(__xludf.DUMMYFUNCTION("CONCAT(LEFT(REGEXREPLACE(AX501, ""[^A-Za-z0-9]"", """"), 20), TEXT(ROW(AX501)-1, ""000""))"),"SAFEMLSurrogateAssis500")</f>
        <v>SAFEMLSurrogateAssis500</v>
      </c>
      <c r="W501" s="1" t="s">
        <v>57</v>
      </c>
      <c r="AF501" s="1" t="s">
        <v>2130</v>
      </c>
      <c r="AL501" s="1" t="s">
        <v>2131</v>
      </c>
      <c r="AX501" s="1" t="s">
        <v>2132</v>
      </c>
      <c r="BC501" s="1">
        <v>2019</v>
      </c>
    </row>
    <row r="502" spans="3:55" ht="13" x14ac:dyDescent="0.15">
      <c r="G502" s="1" t="s">
        <v>2133</v>
      </c>
      <c r="N502" s="1" t="str">
        <f ca="1">IFERROR(__xludf.DUMMYFUNCTION("CONCAT(LEFT(REGEXREPLACE(AX502, ""[^A-Za-z0-9]"", """"), 20), TEXT(ROW(AX502)-1, ""000""))"),"SampleAIIncidentResp501")</f>
        <v>SampleAIIncidentResp501</v>
      </c>
      <c r="W502" s="1" t="s">
        <v>86</v>
      </c>
      <c r="AL502" s="1" t="s">
        <v>2134</v>
      </c>
      <c r="AT502" s="2" t="s">
        <v>2135</v>
      </c>
      <c r="AX502" s="1" t="s">
        <v>2136</v>
      </c>
      <c r="BC502" s="1">
        <v>2020</v>
      </c>
    </row>
    <row r="503" spans="3:55" ht="13" x14ac:dyDescent="0.15">
      <c r="G503" s="1" t="s">
        <v>2137</v>
      </c>
      <c r="M503" s="1" t="s">
        <v>2138</v>
      </c>
      <c r="N503" s="1" t="str">
        <f ca="1">IFERROR(__xludf.DUMMYFUNCTION("CONCAT(LEFT(REGEXREPLACE(AX503, ""[^A-Za-z0-9]"", """"), 20), TEXT(ROW(AX503)-1, ""000""))"),"ScalableBayesianRule502")</f>
        <v>ScalableBayesianRule502</v>
      </c>
      <c r="W503" s="1" t="s">
        <v>64</v>
      </c>
      <c r="AL503" s="1" t="s">
        <v>2139</v>
      </c>
      <c r="AX503" s="1" t="s">
        <v>2140</v>
      </c>
      <c r="BC503" s="1">
        <v>2017</v>
      </c>
    </row>
    <row r="504" spans="3:55" ht="13" x14ac:dyDescent="0.15">
      <c r="G504" s="1" t="s">
        <v>2141</v>
      </c>
      <c r="N504" s="1" t="str">
        <f ca="1">IFERROR(__xludf.DUMMYFUNCTION("CONCAT(LEFT(REGEXREPLACE(AX504, ""[^A-Za-z0-9]"", """"), 20), TEXT(ROW(AX504)-1, ""000""))"),"ScalablePrivateLearn503")</f>
        <v>ScalablePrivateLearn503</v>
      </c>
      <c r="W504" s="1" t="s">
        <v>57</v>
      </c>
      <c r="AF504" s="1" t="s">
        <v>2142</v>
      </c>
      <c r="AL504" s="1" t="s">
        <v>2143</v>
      </c>
      <c r="AX504" s="1" t="s">
        <v>2144</v>
      </c>
      <c r="BC504" s="1">
        <v>2018</v>
      </c>
    </row>
    <row r="505" spans="3:55" ht="13" x14ac:dyDescent="0.15">
      <c r="G505" s="1" t="s">
        <v>2063</v>
      </c>
      <c r="N505" s="1" t="str">
        <f ca="1">IFERROR(__xludf.DUMMYFUNCTION("CONCAT(LEFT(REGEXREPLACE(AX505, ""[^A-Za-z0-9]"", """"), 20), TEXT(ROW(AX505)-1, ""000""))"),"SciencexAISafetyRedT504")</f>
        <v>SciencexAISafetyRedT504</v>
      </c>
      <c r="W505" s="1" t="s">
        <v>86</v>
      </c>
      <c r="Z505" s="1" t="s">
        <v>2145</v>
      </c>
      <c r="AX505" s="1" t="s">
        <v>2146</v>
      </c>
      <c r="BC505" s="1">
        <v>2023</v>
      </c>
    </row>
    <row r="506" spans="3:55" ht="13" x14ac:dyDescent="0.15">
      <c r="C506" s="1" t="s">
        <v>2147</v>
      </c>
      <c r="G506" s="1" t="s">
        <v>2148</v>
      </c>
      <c r="N506" s="1" t="str">
        <f ca="1">IFERROR(__xludf.DUMMYFUNCTION("CONCAT(LEFT(REGEXREPLACE(AX506, ""[^A-Za-z0-9]"", """"), 20), TEXT(ROW(AX506)-1, ""000""))"),"SecurityandPrivacyCo505")</f>
        <v>SecurityandPrivacyCo505</v>
      </c>
      <c r="T506" s="1" t="s">
        <v>2149</v>
      </c>
      <c r="W506" s="1" t="s">
        <v>95</v>
      </c>
      <c r="AA506" s="1" t="s">
        <v>157</v>
      </c>
      <c r="AM506" s="1" t="s">
        <v>2150</v>
      </c>
      <c r="AX506" s="1" t="s">
        <v>2151</v>
      </c>
      <c r="BC506" s="1">
        <v>2013</v>
      </c>
    </row>
    <row r="507" spans="3:55" ht="13" x14ac:dyDescent="0.15">
      <c r="C507" s="1" t="s">
        <v>2152</v>
      </c>
      <c r="G507" s="1" t="s">
        <v>157</v>
      </c>
      <c r="N507" s="1" t="str">
        <f ca="1">IFERROR(__xludf.DUMMYFUNCTION("CONCAT(LEFT(REGEXREPLACE(AX507, ""[^A-Za-z0-9]"", """"), 20), TEXT(ROW(AX507)-1, ""000""))"),"SecurityRequirements506")</f>
        <v>SecurityRequirements506</v>
      </c>
      <c r="T507" s="1" t="s">
        <v>2153</v>
      </c>
      <c r="W507" s="1" t="s">
        <v>95</v>
      </c>
      <c r="AA507" s="1" t="s">
        <v>415</v>
      </c>
      <c r="AM507" s="1" t="s">
        <v>2154</v>
      </c>
      <c r="AX507" s="1" t="s">
        <v>2155</v>
      </c>
      <c r="BC507" s="1">
        <v>2001</v>
      </c>
    </row>
    <row r="508" spans="3:55" ht="13" x14ac:dyDescent="0.15">
      <c r="G508" s="1" t="s">
        <v>2156</v>
      </c>
      <c r="M508" s="1" t="s">
        <v>447</v>
      </c>
      <c r="N508" s="1" t="str">
        <f ca="1">IFERROR(__xludf.DUMMYFUNCTION("CONCAT(LEFT(REGEXREPLACE(AX508, ""[^A-Za-z0-9]"", """"), 20), TEXT(ROW(AX508)-1, ""000""))"),"SequencetoSequenceLe507")</f>
        <v>SequencetoSequenceLe507</v>
      </c>
      <c r="V508" s="1" t="s">
        <v>2157</v>
      </c>
      <c r="W508" s="1" t="s">
        <v>64</v>
      </c>
      <c r="AL508" s="1" t="s">
        <v>2158</v>
      </c>
      <c r="AT508" s="1" t="s">
        <v>199</v>
      </c>
      <c r="AX508" s="1" t="s">
        <v>2159</v>
      </c>
      <c r="BB508" s="1">
        <v>27</v>
      </c>
      <c r="BC508" s="1">
        <v>2014</v>
      </c>
    </row>
    <row r="509" spans="3:55" ht="13" x14ac:dyDescent="0.15">
      <c r="G509" s="1" t="s">
        <v>2160</v>
      </c>
      <c r="N509" s="1" t="str">
        <f ca="1">IFERROR(__xludf.DUMMYFUNCTION("CONCAT(LEFT(REGEXREPLACE(AX509, ""[^A-Za-z0-9]"", """"), 20), TEXT(ROW(AX509)-1, ""000""))"),"SevenLegalQuestionsf508")</f>
        <v>SevenLegalQuestionsf508</v>
      </c>
      <c r="W509" s="1" t="s">
        <v>86</v>
      </c>
      <c r="AL509" s="1" t="s">
        <v>2161</v>
      </c>
      <c r="AT509" s="1" t="s">
        <v>2162</v>
      </c>
      <c r="AX509" s="1" t="s">
        <v>2163</v>
      </c>
      <c r="BC509" s="1">
        <v>2021</v>
      </c>
    </row>
    <row r="510" spans="3:55" ht="13" x14ac:dyDescent="0.15">
      <c r="G510" s="1" t="s">
        <v>2164</v>
      </c>
      <c r="M510" s="1" t="s">
        <v>2165</v>
      </c>
      <c r="N510" s="1" t="str">
        <f ca="1">IFERROR(__xludf.DUMMYFUNCTION("CONCAT(LEFT(REGEXREPLACE(AX510, ""[^A-Za-z0-9]"", """"), 20), TEXT(ROW(AX510)-1, ""000""))"),"SHEEPGOATSLAMBSandWO509")</f>
        <v>SHEEPGOATSLAMBSandWO509</v>
      </c>
      <c r="W510" s="1" t="s">
        <v>64</v>
      </c>
      <c r="AP510" s="1" t="s">
        <v>2166</v>
      </c>
      <c r="AX510" s="1" t="s">
        <v>2167</v>
      </c>
      <c r="AZ510" t="s">
        <v>2726</v>
      </c>
      <c r="BB510" s="1">
        <v>98</v>
      </c>
      <c r="BC510" s="1">
        <v>1998</v>
      </c>
    </row>
    <row r="511" spans="3:55" ht="13" x14ac:dyDescent="0.15">
      <c r="E511" s="1" t="s">
        <v>91</v>
      </c>
      <c r="G511" s="1" t="s">
        <v>2168</v>
      </c>
      <c r="N511" s="1" t="str">
        <f ca="1">IFERROR(__xludf.DUMMYFUNCTION("CONCAT(LEFT(REGEXREPLACE(AX511, ""[^A-Za-z0-9]"", """"), 20), TEXT(ROW(AX511)-1, ""000""))"),"ShowYourWorkImproved510")</f>
        <v>ShowYourWorkImproved510</v>
      </c>
      <c r="W511" s="1" t="s">
        <v>86</v>
      </c>
      <c r="X511" s="1">
        <v>1909.0300400000001</v>
      </c>
      <c r="AS511" s="1" t="s">
        <v>1538</v>
      </c>
      <c r="AX511" s="1" t="s">
        <v>2169</v>
      </c>
      <c r="AZ511" s="2" t="s">
        <v>2170</v>
      </c>
      <c r="BC511" s="1">
        <v>2019</v>
      </c>
    </row>
    <row r="512" spans="3:55" ht="13" x14ac:dyDescent="0.15">
      <c r="G512" s="1" t="s">
        <v>2171</v>
      </c>
      <c r="N512" s="1" t="str">
        <f ca="1">IFERROR(__xludf.DUMMYFUNCTION("CONCAT(LEFT(REGEXREPLACE(AX512, ""[^A-Za-z0-9]"", """"), 20), TEXT(ROW(AX512)-1, ""000""))"),"SmokeandmirrorsJailb511")</f>
        <v>SmokeandmirrorsJailb511</v>
      </c>
      <c r="W512" s="1" t="s">
        <v>86</v>
      </c>
      <c r="AL512" s="1" t="s">
        <v>2172</v>
      </c>
      <c r="AX512" s="1" t="s">
        <v>2173</v>
      </c>
      <c r="AZ512" t="s">
        <v>2799</v>
      </c>
      <c r="BC512" s="1">
        <v>2025</v>
      </c>
    </row>
    <row r="513" spans="5:55" ht="13" x14ac:dyDescent="0.15">
      <c r="G513" s="1" t="s">
        <v>2174</v>
      </c>
      <c r="N513" s="1" t="str">
        <f ca="1">IFERROR(__xludf.DUMMYFUNCTION("CONCAT(LEFT(REGEXREPLACE(AX513, ""[^A-Za-z0-9]"", """"), 20), TEXT(ROW(AX513)-1, ""000""))"),"SocialchoiceforAIali512")</f>
        <v>SocialchoiceforAIali512</v>
      </c>
      <c r="W513" s="1" t="s">
        <v>57</v>
      </c>
      <c r="AF513" s="1" t="s">
        <v>2175</v>
      </c>
      <c r="AX513" s="1" t="s">
        <v>2176</v>
      </c>
      <c r="AZ513" t="s">
        <v>2800</v>
      </c>
      <c r="BC513" s="1">
        <v>2024</v>
      </c>
    </row>
    <row r="514" spans="5:55" ht="13" x14ac:dyDescent="0.15">
      <c r="G514" s="1" t="s">
        <v>2177</v>
      </c>
      <c r="N514" s="1" t="str">
        <f ca="1">IFERROR(__xludf.DUMMYFUNCTION("CONCAT(LEFT(REGEXREPLACE(AX514, ""[^A-Za-z0-9]"", """"), 20), TEXT(ROW(AX514)-1, ""000""))"),"SocialResearchMethod513")</f>
        <v>SocialResearchMethod513</v>
      </c>
      <c r="W514" s="1" t="s">
        <v>69</v>
      </c>
      <c r="AT514" s="1" t="s">
        <v>2178</v>
      </c>
      <c r="AX514" s="1" t="s">
        <v>2179</v>
      </c>
      <c r="AZ514" t="s">
        <v>2727</v>
      </c>
      <c r="BC514" s="1">
        <v>2012</v>
      </c>
    </row>
    <row r="515" spans="5:55" ht="13" x14ac:dyDescent="0.15">
      <c r="G515" s="1" t="s">
        <v>2180</v>
      </c>
      <c r="N515" s="1" t="str">
        <f ca="1">IFERROR(__xludf.DUMMYFUNCTION("CONCAT(LEFT(REGEXREPLACE(AX515, ""[^A-Za-z0-9]"", """"), 20), TEXT(ROW(AX515)-1, ""000""))"),"SocialScienceResearc514")</f>
        <v>SocialScienceResearc514</v>
      </c>
      <c r="W515" s="1" t="s">
        <v>69</v>
      </c>
      <c r="AT515" s="1" t="s">
        <v>2181</v>
      </c>
      <c r="AX515" s="1" t="s">
        <v>2182</v>
      </c>
      <c r="AZ515" t="s">
        <v>2728</v>
      </c>
      <c r="BC515" s="1">
        <v>2019</v>
      </c>
    </row>
    <row r="516" spans="5:55" ht="13" x14ac:dyDescent="0.15">
      <c r="G516" s="1" t="s">
        <v>2183</v>
      </c>
      <c r="M516" s="1" t="s">
        <v>2184</v>
      </c>
      <c r="N516" s="1" t="str">
        <f ca="1">IFERROR(__xludf.DUMMYFUNCTION("CONCAT(LEFT(REGEXREPLACE(AX516, ""[^A-Za-z0-9]"", """"), 20), TEXT(ROW(AX516)-1, ""000""))"),"Sociotechnicalharmso515")</f>
        <v>Sociotechnicalharmso515</v>
      </c>
      <c r="W516" s="1" t="s">
        <v>64</v>
      </c>
      <c r="AP516" s="1" t="s">
        <v>2185</v>
      </c>
      <c r="AX516" s="1" t="s">
        <v>2186</v>
      </c>
      <c r="AZ516" t="s">
        <v>2801</v>
      </c>
      <c r="BC516" s="1">
        <v>2023</v>
      </c>
    </row>
    <row r="517" spans="5:55" ht="13" x14ac:dyDescent="0.15">
      <c r="E517" s="1" t="s">
        <v>91</v>
      </c>
      <c r="G517" s="1" t="s">
        <v>2187</v>
      </c>
      <c r="N517" s="1" t="str">
        <f ca="1">IFERROR(__xludf.DUMMYFUNCTION("CONCAT(LEFT(REGEXREPLACE(AX517, ""[^A-Za-z0-9]"", """"), 20), TEXT(ROW(AX517)-1, ""000""))"),"SociotechnicalSafety516")</f>
        <v>SociotechnicalSafety516</v>
      </c>
      <c r="W517" s="1" t="s">
        <v>86</v>
      </c>
      <c r="X517" s="1">
        <v>2310.1198599999998</v>
      </c>
      <c r="AS517" s="2" t="s">
        <v>486</v>
      </c>
      <c r="AX517" s="1" t="s">
        <v>2188</v>
      </c>
      <c r="AZ517" s="2" t="s">
        <v>2189</v>
      </c>
      <c r="BC517" s="1">
        <v>2023</v>
      </c>
    </row>
    <row r="518" spans="5:55" ht="13" x14ac:dyDescent="0.15">
      <c r="G518" s="1" t="s">
        <v>2190</v>
      </c>
      <c r="N518" s="1" t="str">
        <f ca="1">IFERROR(__xludf.DUMMYFUNCTION("CONCAT(LEFT(REGEXREPLACE(AX518, ""[^A-Za-z0-9]"", """"), 20), TEXT(ROW(AX518)-1, ""000""))"),"Solutionstotheexplor517")</f>
        <v>Solutionstotheexplor517</v>
      </c>
      <c r="T518" s="1" t="s">
        <v>2191</v>
      </c>
      <c r="W518" s="1" t="s">
        <v>57</v>
      </c>
      <c r="AF518" s="1" t="s">
        <v>2192</v>
      </c>
      <c r="AM518" s="1">
        <v>2</v>
      </c>
      <c r="AP518" s="1" t="s">
        <v>2193</v>
      </c>
      <c r="AX518" s="1" t="s">
        <v>2194</v>
      </c>
      <c r="AZ518" s="2" t="s">
        <v>2195</v>
      </c>
      <c r="BB518" s="1">
        <v>16</v>
      </c>
      <c r="BC518" s="1">
        <v>2013</v>
      </c>
    </row>
    <row r="519" spans="5:55" ht="13" x14ac:dyDescent="0.15">
      <c r="G519" s="1" t="s">
        <v>2196</v>
      </c>
      <c r="N519" s="1" t="str">
        <f ca="1">IFERROR(__xludf.DUMMYFUNCTION("CONCAT(LEFT(REGEXREPLACE(AX519, ""[^A-Za-z0-9]"", """"), 20), TEXT(ROW(AX519)-1, ""000""))"),"SomeSocialandPsychol518")</f>
        <v>SomeSocialandPsychol518</v>
      </c>
      <c r="T519" s="1" t="s">
        <v>2197</v>
      </c>
      <c r="W519" s="1" t="s">
        <v>57</v>
      </c>
      <c r="AC519" s="1" t="s">
        <v>2198</v>
      </c>
      <c r="AF519" s="1" t="s">
        <v>2199</v>
      </c>
      <c r="AH519" s="1" t="s">
        <v>114</v>
      </c>
      <c r="AK519" s="1" t="s">
        <v>2031</v>
      </c>
      <c r="AM519" s="1">
        <v>1</v>
      </c>
      <c r="AP519" s="1" t="s">
        <v>2200</v>
      </c>
      <c r="AU519" s="2" t="s">
        <v>2201</v>
      </c>
      <c r="AX519" s="1" t="s">
        <v>2202</v>
      </c>
      <c r="AZ519" s="2" t="s">
        <v>2203</v>
      </c>
      <c r="BB519" s="1">
        <v>4</v>
      </c>
      <c r="BC519" s="1">
        <v>1951</v>
      </c>
    </row>
    <row r="520" spans="5:55" ht="13" x14ac:dyDescent="0.15">
      <c r="G520" s="1" t="s">
        <v>2204</v>
      </c>
      <c r="N520" s="1" t="str">
        <f ca="1">IFERROR(__xludf.DUMMYFUNCTION("CONCAT(LEFT(REGEXREPLACE(AX520, ""[^A-Za-z0-9]"", """"), 20), TEXT(ROW(AX520)-1, ""000""))"),"SparksofArtificialGe519")</f>
        <v>SparksofArtificialGe519</v>
      </c>
      <c r="W520" s="1" t="s">
        <v>57</v>
      </c>
      <c r="AF520" s="1" t="s">
        <v>2205</v>
      </c>
      <c r="AX520" s="1" t="s">
        <v>2206</v>
      </c>
      <c r="AZ520" t="s">
        <v>2729</v>
      </c>
      <c r="BC520" s="1">
        <v>2023</v>
      </c>
    </row>
    <row r="521" spans="5:55" ht="13" x14ac:dyDescent="0.15">
      <c r="G521" s="1" t="s">
        <v>2207</v>
      </c>
      <c r="N521" s="1" t="str">
        <f ca="1">IFERROR(__xludf.DUMMYFUNCTION("CONCAT(LEFT(REGEXREPLACE(AX521, ""[^A-Za-z0-9]"", """"), 20), TEXT(ROW(AX521)-1, ""000""))"),"SparsePrincipalCompo520")</f>
        <v>SparsePrincipalCompo520</v>
      </c>
      <c r="W521" s="1" t="s">
        <v>57</v>
      </c>
      <c r="AF521" s="1" t="s">
        <v>2208</v>
      </c>
      <c r="AL521" s="1" t="s">
        <v>2209</v>
      </c>
      <c r="AM521" s="1">
        <v>2</v>
      </c>
      <c r="AP521" s="1" t="s">
        <v>2210</v>
      </c>
      <c r="AT521" s="1" t="s">
        <v>146</v>
      </c>
      <c r="AX521" s="1" t="s">
        <v>2211</v>
      </c>
      <c r="BB521" s="1">
        <v>15</v>
      </c>
      <c r="BC521" s="1">
        <v>2006</v>
      </c>
    </row>
    <row r="522" spans="5:55" ht="13" x14ac:dyDescent="0.15">
      <c r="G522" s="1" t="s">
        <v>2212</v>
      </c>
      <c r="M522" s="1" t="s">
        <v>2213</v>
      </c>
      <c r="N522" s="1" t="str">
        <f ca="1">IFERROR(__xludf.DUMMYFUNCTION("CONCAT(LEFT(REGEXREPLACE(AX522, ""[^A-Za-z0-9]"", """"), 20), TEXT(ROW(AX522)-1, ""000""))"),"SpongeexamplesEnergy521")</f>
        <v>SpongeexamplesEnergy521</v>
      </c>
      <c r="W522" s="1" t="s">
        <v>64</v>
      </c>
      <c r="AL522" s="1" t="s">
        <v>2214</v>
      </c>
      <c r="AP522" s="1" t="s">
        <v>2215</v>
      </c>
      <c r="AX522" s="1" t="s">
        <v>2216</v>
      </c>
      <c r="AZ522" s="2" t="s">
        <v>2217</v>
      </c>
      <c r="BC522" s="1">
        <v>2021</v>
      </c>
    </row>
    <row r="523" spans="5:55" ht="13" x14ac:dyDescent="0.15">
      <c r="G523" s="1" t="s">
        <v>2218</v>
      </c>
      <c r="M523" s="1" t="s">
        <v>2219</v>
      </c>
      <c r="N523" s="1" t="str">
        <f ca="1">IFERROR(__xludf.DUMMYFUNCTION("CONCAT(LEFT(REGEXREPLACE(AX523, ""[^A-Za-z0-9]"", """"), 20), TEXT(ROW(AX523)-1, ""000""))"),"SQuAD100000Questions522")</f>
        <v>SQuAD100000Questions522</v>
      </c>
      <c r="W523" s="1" t="s">
        <v>64</v>
      </c>
      <c r="AP523" s="1" t="s">
        <v>2220</v>
      </c>
      <c r="AX523" s="1" t="s">
        <v>2221</v>
      </c>
      <c r="AZ523" s="2" t="s">
        <v>2222</v>
      </c>
      <c r="BC523" s="1">
        <v>2016</v>
      </c>
    </row>
    <row r="524" spans="5:55" ht="13" x14ac:dyDescent="0.15">
      <c r="G524" s="1" t="s">
        <v>2023</v>
      </c>
      <c r="N524" s="1" t="str">
        <f ca="1">IFERROR(__xludf.DUMMYFUNCTION("CONCAT(LEFT(REGEXREPLACE(AX524, ""[^A-Za-z0-9]"", """"), 20), TEXT(ROW(AX524)-1, ""000""))"),"StatisticalModelingT523")</f>
        <v>StatisticalModelingT523</v>
      </c>
      <c r="W524" s="1" t="s">
        <v>57</v>
      </c>
      <c r="AF524" s="1" t="s">
        <v>2223</v>
      </c>
      <c r="AM524" s="1">
        <v>3</v>
      </c>
      <c r="AX524" s="1" t="s">
        <v>2224</v>
      </c>
      <c r="AZ524" s="2" t="s">
        <v>2225</v>
      </c>
      <c r="BB524" s="1">
        <v>16</v>
      </c>
      <c r="BC524" s="1">
        <v>2001</v>
      </c>
    </row>
    <row r="525" spans="5:55" ht="13" x14ac:dyDescent="0.15">
      <c r="G525" s="1" t="s">
        <v>133</v>
      </c>
      <c r="N525" s="1" t="str">
        <f ca="1">IFERROR(__xludf.DUMMYFUNCTION("CONCAT(LEFT(REGEXREPLACE(AX525, ""[^A-Za-z0-9]"", """"), 20), TEXT(ROW(AX525)-1, ""000""))"),"StatisticalPowerAnal524")</f>
        <v>StatisticalPowerAnal524</v>
      </c>
      <c r="W525" s="1" t="s">
        <v>69</v>
      </c>
      <c r="AL525" s="1" t="s">
        <v>2226</v>
      </c>
      <c r="AT525" s="1" t="s">
        <v>2227</v>
      </c>
      <c r="AX525" s="1" t="s">
        <v>2228</v>
      </c>
      <c r="BC525" s="1">
        <v>1988</v>
      </c>
    </row>
    <row r="526" spans="5:55" ht="13" x14ac:dyDescent="0.15">
      <c r="G526" s="1" t="s">
        <v>2229</v>
      </c>
      <c r="N526" s="1" t="str">
        <f ca="1">IFERROR(__xludf.DUMMYFUNCTION("CONCAT(LEFT(REGEXREPLACE(AX526, ""[^A-Za-z0-9]"", """"), 20), TEXT(ROW(AX526)-1, ""000""))"),"StatisticsforExperim525")</f>
        <v>StatisticsforExperim525</v>
      </c>
      <c r="W526" s="1" t="s">
        <v>69</v>
      </c>
      <c r="AT526" s="1" t="s">
        <v>679</v>
      </c>
      <c r="AX526" s="1" t="s">
        <v>2230</v>
      </c>
      <c r="AZ526" t="s">
        <v>2802</v>
      </c>
      <c r="BC526" s="1">
        <v>2005</v>
      </c>
    </row>
    <row r="527" spans="5:55" ht="13" x14ac:dyDescent="0.15">
      <c r="G527" s="1" t="s">
        <v>2231</v>
      </c>
      <c r="M527" s="1" t="s">
        <v>2232</v>
      </c>
      <c r="N527" s="1" t="str">
        <f ca="1">IFERROR(__xludf.DUMMYFUNCTION("CONCAT(LEFT(REGEXREPLACE(AX527, ""[^A-Za-z0-9]"", """"), 20), TEXT(ROW(AX527)-1, ""000""))"),"StealingMachineLearn526")</f>
        <v>StealingMachineLearn526</v>
      </c>
      <c r="W527" s="1" t="s">
        <v>64</v>
      </c>
      <c r="AL527" s="1" t="s">
        <v>2233</v>
      </c>
      <c r="AP527" s="1" t="s">
        <v>2234</v>
      </c>
      <c r="AT527" s="1" t="s">
        <v>2235</v>
      </c>
      <c r="AX527" s="1" t="s">
        <v>2236</v>
      </c>
      <c r="BC527" s="1">
        <v>2016</v>
      </c>
    </row>
    <row r="528" spans="5:55" ht="13" x14ac:dyDescent="0.15">
      <c r="E528" s="1" t="s">
        <v>91</v>
      </c>
      <c r="G528" s="1" t="s">
        <v>2237</v>
      </c>
      <c r="N528" s="1" t="str">
        <f ca="1">IFERROR(__xludf.DUMMYFUNCTION("CONCAT(LEFT(REGEXREPLACE(AX528, ""[^A-Za-z0-9]"", """"), 20), TEXT(ROW(AX528)-1, ""000""))"),"StealingPartofaProdu527")</f>
        <v>StealingPartofaProdu527</v>
      </c>
      <c r="W528" s="1" t="s">
        <v>86</v>
      </c>
      <c r="X528" s="1">
        <v>2403.0663399999999</v>
      </c>
      <c r="AS528" s="2" t="s">
        <v>867</v>
      </c>
      <c r="AX528" s="1" t="s">
        <v>2238</v>
      </c>
      <c r="AZ528" s="2" t="s">
        <v>2239</v>
      </c>
      <c r="BC528" s="1">
        <v>2024</v>
      </c>
    </row>
    <row r="529" spans="1:55" ht="13" x14ac:dyDescent="0.15">
      <c r="E529" s="1" t="s">
        <v>91</v>
      </c>
      <c r="G529" s="1" t="s">
        <v>2240</v>
      </c>
      <c r="N529" s="1" t="str">
        <f ca="1">IFERROR(__xludf.DUMMYFUNCTION("CONCAT(LEFT(REGEXREPLACE(AX529, ""[^A-Za-z0-9]"", """"), 20), TEXT(ROW(AX529)-1, ""000""))"),"StereoSetMeasuringst528")</f>
        <v>StereoSetMeasuringst528</v>
      </c>
      <c r="W529" s="1" t="s">
        <v>86</v>
      </c>
      <c r="X529" s="1">
        <v>2004.09456</v>
      </c>
      <c r="AS529" s="2" t="s">
        <v>375</v>
      </c>
      <c r="AX529" s="1" t="s">
        <v>2241</v>
      </c>
      <c r="AZ529" s="2" t="s">
        <v>2242</v>
      </c>
      <c r="BC529" s="1">
        <v>2020</v>
      </c>
    </row>
    <row r="530" spans="1:55" ht="13" x14ac:dyDescent="0.15">
      <c r="G530" s="1" t="s">
        <v>1885</v>
      </c>
      <c r="N530" s="1" t="str">
        <f ca="1">IFERROR(__xludf.DUMMYFUNCTION("CONCAT(LEFT(REGEXREPLACE(AX530, ""[^A-Za-z0-9]"", """"), 20), TEXT(ROW(AX530)-1, ""000""))"),"Stopexplainingblackb529")</f>
        <v>Stopexplainingblackb529</v>
      </c>
      <c r="W530" s="1" t="s">
        <v>57</v>
      </c>
      <c r="AF530" s="1" t="s">
        <v>2243</v>
      </c>
      <c r="AM530" s="1">
        <v>5</v>
      </c>
      <c r="AP530" s="1" t="s">
        <v>2244</v>
      </c>
      <c r="AT530" s="1" t="s">
        <v>272</v>
      </c>
      <c r="AX530" s="1" t="s">
        <v>2245</v>
      </c>
      <c r="AZ530" t="s">
        <v>2803</v>
      </c>
      <c r="BB530" s="1">
        <v>1</v>
      </c>
      <c r="BC530" s="1">
        <v>2019</v>
      </c>
    </row>
    <row r="531" spans="1:55" ht="13" x14ac:dyDescent="0.15">
      <c r="G531" s="1" t="s">
        <v>2246</v>
      </c>
      <c r="N531" s="1" t="str">
        <f ca="1">IFERROR(__xludf.DUMMYFUNCTION("CONCAT(LEFT(REGEXREPLACE(AX531, ""[^A-Za-z0-9]"", """"), 20), TEXT(ROW(AX531)-1, ""000""))"),"StressTests530")</f>
        <v>StressTests530</v>
      </c>
      <c r="W531" s="1" t="s">
        <v>86</v>
      </c>
      <c r="AA531" s="1" t="s">
        <v>2247</v>
      </c>
      <c r="AX531" s="1" t="s">
        <v>2248</v>
      </c>
      <c r="AZ531" s="2" t="s">
        <v>2249</v>
      </c>
      <c r="BC531" s="1">
        <v>2022</v>
      </c>
    </row>
    <row r="532" spans="1:55" ht="13" x14ac:dyDescent="0.15">
      <c r="G532" s="1" t="s">
        <v>2250</v>
      </c>
      <c r="L532" s="2" t="s">
        <v>2251</v>
      </c>
      <c r="N532" s="1" t="str">
        <f ca="1">IFERROR(__xludf.DUMMYFUNCTION("CONCAT(LEFT(REGEXREPLACE(AX532, ""[^A-Za-z0-9]"", """"), 20), TEXT(ROW(AX532)-1, ""000""))"),"StrongRulesforDiscar531")</f>
        <v>StrongRulesforDiscar531</v>
      </c>
      <c r="W532" s="1" t="s">
        <v>57</v>
      </c>
      <c r="AF532" s="1" t="s">
        <v>2085</v>
      </c>
      <c r="AM532" s="1">
        <v>1</v>
      </c>
      <c r="AX532" s="1" t="s">
        <v>2252</v>
      </c>
      <c r="AZ532" s="2" t="s">
        <v>2251</v>
      </c>
      <c r="BB532" s="1">
        <v>74</v>
      </c>
      <c r="BC532" s="1">
        <v>2012</v>
      </c>
    </row>
    <row r="533" spans="1:55" ht="13" x14ac:dyDescent="0.15">
      <c r="G533" s="1" t="s">
        <v>2253</v>
      </c>
      <c r="N533" s="1" t="str">
        <f ca="1">IFERROR(__xludf.DUMMYFUNCTION("CONCAT(LEFT(REGEXREPLACE(AX533, ""[^A-Za-z0-9]"", """"), 20), TEXT(ROW(AX533)-1, ""000""))"),"Styleandsociolinguis532")</f>
        <v>Styleandsociolinguis532</v>
      </c>
      <c r="W533" s="1" t="s">
        <v>69</v>
      </c>
      <c r="AT533" s="1" t="s">
        <v>1699</v>
      </c>
      <c r="AX533" s="1" t="s">
        <v>2254</v>
      </c>
      <c r="AZ533" t="s">
        <v>2804</v>
      </c>
      <c r="BC533" s="1">
        <v>2001</v>
      </c>
    </row>
    <row r="534" spans="1:55" ht="13" x14ac:dyDescent="0.15">
      <c r="G534" s="1" t="s">
        <v>2255</v>
      </c>
      <c r="M534" s="1" t="s">
        <v>2256</v>
      </c>
      <c r="N534" s="1" t="str">
        <f ca="1">IFERROR(__xludf.DUMMYFUNCTION("CONCAT(LEFT(REGEXREPLACE(AX534, ""[^A-Za-z0-9]"", """"), 20), TEXT(ROW(AX534)-1, ""000""))"),"StylemattersInvestig533")</f>
        <v>StylemattersInvestig533</v>
      </c>
      <c r="W534" s="1" t="s">
        <v>64</v>
      </c>
      <c r="AP534" s="1" t="s">
        <v>2257</v>
      </c>
      <c r="AX534" s="1" t="s">
        <v>2258</v>
      </c>
      <c r="AZ534" t="s">
        <v>2805</v>
      </c>
      <c r="BB534" s="1">
        <v>14</v>
      </c>
      <c r="BC534" s="1">
        <v>2020</v>
      </c>
    </row>
    <row r="535" spans="1:55" ht="13" x14ac:dyDescent="0.15">
      <c r="A535" s="1" t="s">
        <v>2259</v>
      </c>
      <c r="C535" s="1" t="s">
        <v>511</v>
      </c>
      <c r="F535" s="1">
        <v>7</v>
      </c>
      <c r="G535" s="1" t="s">
        <v>2260</v>
      </c>
      <c r="N535" s="1" t="str">
        <f ca="1">IFERROR(__xludf.DUMMYFUNCTION("CONCAT(LEFT(REGEXREPLACE(AX535, ""[^A-Za-z0-9]"", """"), 20), TEXT(ROW(AX535)-1, ""000""))"),"SubjectivityintheCre534")</f>
        <v>SubjectivityintheCre534</v>
      </c>
      <c r="T535" s="1" t="s">
        <v>2261</v>
      </c>
      <c r="W535" s="1" t="s">
        <v>57</v>
      </c>
      <c r="AC535" s="1" t="s">
        <v>2262</v>
      </c>
      <c r="AE535" s="5">
        <v>44348</v>
      </c>
      <c r="AF535" s="1" t="s">
        <v>2263</v>
      </c>
      <c r="AG535" s="1" t="s">
        <v>2264</v>
      </c>
      <c r="AK535" s="1" t="s">
        <v>129</v>
      </c>
      <c r="AM535" s="1">
        <v>2</v>
      </c>
      <c r="AN535" s="1">
        <v>19</v>
      </c>
      <c r="AT535" s="1" t="s">
        <v>518</v>
      </c>
      <c r="AX535" s="1" t="s">
        <v>2265</v>
      </c>
      <c r="AZ535" s="2" t="s">
        <v>2266</v>
      </c>
      <c r="BB535" s="1">
        <v>13</v>
      </c>
      <c r="BC535" s="1">
        <v>2021</v>
      </c>
    </row>
    <row r="536" spans="1:55" ht="13" x14ac:dyDescent="0.15">
      <c r="G536" s="1" t="s">
        <v>2267</v>
      </c>
      <c r="N536" s="1" t="str">
        <f ca="1">IFERROR(__xludf.DUMMYFUNCTION("CONCAT(LEFT(REGEXREPLACE(AX536, ""[^A-Za-z0-9]"", """"), 20), TEXT(ROW(AX536)-1, ""000""))"),"SuperGLUEAStickierBe535")</f>
        <v>SuperGLUEAStickierBe535</v>
      </c>
      <c r="W536" s="1" t="s">
        <v>57</v>
      </c>
      <c r="AF536" s="1" t="s">
        <v>447</v>
      </c>
      <c r="AX536" s="1" t="s">
        <v>2268</v>
      </c>
      <c r="AZ536" s="2" t="s">
        <v>2269</v>
      </c>
      <c r="BB536" s="1">
        <v>32</v>
      </c>
      <c r="BC536" s="1">
        <v>2019</v>
      </c>
    </row>
    <row r="537" spans="1:55" ht="13" x14ac:dyDescent="0.15">
      <c r="G537" s="1" t="s">
        <v>2270</v>
      </c>
      <c r="N537" s="1" t="str">
        <f ca="1">IFERROR(__xludf.DUMMYFUNCTION("CONCAT(LEFT(REGEXREPLACE(AX537, ""[^A-Za-z0-9]"", """"), 20), TEXT(ROW(AX537)-1, ""000""))"),"SupersparseLinearInt536")</f>
        <v>SupersparseLinearInt536</v>
      </c>
      <c r="W537" s="1" t="s">
        <v>57</v>
      </c>
      <c r="AF537" s="1" t="s">
        <v>1644</v>
      </c>
      <c r="AL537" s="1" t="s">
        <v>2271</v>
      </c>
      <c r="AM537" s="1">
        <v>3</v>
      </c>
      <c r="AP537" s="1" t="s">
        <v>2272</v>
      </c>
      <c r="AT537" s="1" t="s">
        <v>193</v>
      </c>
      <c r="AX537" s="1" t="s">
        <v>2273</v>
      </c>
      <c r="BB537" s="1">
        <v>102</v>
      </c>
      <c r="BC537" s="1">
        <v>2016</v>
      </c>
    </row>
    <row r="538" spans="1:55" ht="13" x14ac:dyDescent="0.15">
      <c r="G538" s="1" t="s">
        <v>2274</v>
      </c>
      <c r="N538" s="1" t="str">
        <f ca="1">IFERROR(__xludf.DUMMYFUNCTION("CONCAT(LEFT(REGEXREPLACE(AX538, ""[^A-Za-z0-9]"", """"), 20), TEXT(ROW(AX538)-1, ""000""))"),"SupervisoryGuidanceo537")</f>
        <v>SupervisoryGuidanceo537</v>
      </c>
      <c r="W538" s="1" t="s">
        <v>86</v>
      </c>
      <c r="AA538" s="1" t="s">
        <v>2275</v>
      </c>
      <c r="AM538" s="1" t="s">
        <v>2276</v>
      </c>
      <c r="AX538" s="1" t="s">
        <v>2277</v>
      </c>
      <c r="AZ538" s="2" t="s">
        <v>2278</v>
      </c>
      <c r="BC538" s="1">
        <v>2011</v>
      </c>
    </row>
    <row r="539" spans="1:55" ht="13" x14ac:dyDescent="0.15">
      <c r="G539" s="1" t="s">
        <v>2279</v>
      </c>
      <c r="N539" s="1" t="str">
        <f ca="1">IFERROR(__xludf.DUMMYFUNCTION("CONCAT(LEFT(REGEXREPLACE(AX539, ""[^A-Za-z0-9]"", """"), 20), TEXT(ROW(AX539)-1, ""000""))"),"SurelyYoureJokingMrF538")</f>
        <v>SurelyYoureJokingMrF538</v>
      </c>
      <c r="W539" s="1" t="s">
        <v>69</v>
      </c>
      <c r="AT539" s="1" t="s">
        <v>2280</v>
      </c>
      <c r="AX539" s="1" t="s">
        <v>2281</v>
      </c>
      <c r="AZ539" t="s">
        <v>2806</v>
      </c>
      <c r="BC539" s="1">
        <v>1985</v>
      </c>
    </row>
    <row r="540" spans="1:55" ht="13" x14ac:dyDescent="0.15">
      <c r="G540" s="1" t="s">
        <v>2282</v>
      </c>
      <c r="M540" s="1" t="s">
        <v>2283</v>
      </c>
      <c r="N540" s="1" t="str">
        <f ca="1">IFERROR(__xludf.DUMMYFUNCTION("CONCAT(LEFT(REGEXREPLACE(AX540, ""[^A-Za-z0-9]"", """"), 20), TEXT(ROW(AX540)-1, ""000""))"),"SurfaceReservoirChar539")</f>
        <v>SurfaceReservoirChar539</v>
      </c>
      <c r="W540" s="1" t="s">
        <v>64</v>
      </c>
      <c r="AL540" s="1" t="s">
        <v>2284</v>
      </c>
      <c r="AP540" s="1" t="s">
        <v>2285</v>
      </c>
      <c r="AX540" s="1" t="s">
        <v>2286</v>
      </c>
      <c r="BC540" s="1">
        <v>2016</v>
      </c>
    </row>
    <row r="541" spans="1:55" ht="13" x14ac:dyDescent="0.15">
      <c r="G541" s="1" t="s">
        <v>2287</v>
      </c>
      <c r="N541" s="1" t="str">
        <f ca="1">IFERROR(__xludf.DUMMYFUNCTION("CONCAT(LEFT(REGEXREPLACE(AX541, ""[^A-Za-z0-9]"", """"), 20), TEXT(ROW(AX541)-1, ""000""))"),"SurveyarticleInterco540")</f>
        <v>SurveyarticleInterco540</v>
      </c>
      <c r="W541" s="1" t="s">
        <v>57</v>
      </c>
      <c r="AF541" s="1" t="s">
        <v>2288</v>
      </c>
      <c r="AM541" s="1">
        <v>4</v>
      </c>
      <c r="AP541" s="1" t="s">
        <v>2289</v>
      </c>
      <c r="AX541" s="1" t="s">
        <v>2290</v>
      </c>
      <c r="AZ541" s="2" t="s">
        <v>2291</v>
      </c>
      <c r="BB541" s="1">
        <v>34</v>
      </c>
      <c r="BC541" s="1">
        <v>2008</v>
      </c>
    </row>
    <row r="542" spans="1:55" ht="13" x14ac:dyDescent="0.15">
      <c r="G542" s="1" t="s">
        <v>2292</v>
      </c>
      <c r="N542" s="1" t="str">
        <f ca="1">IFERROR(__xludf.DUMMYFUNCTION("CONCAT(LEFT(REGEXREPLACE(AX542, ""[^A-Za-z0-9]"", """"), 20), TEXT(ROW(AX542)-1, ""000""))"),"Surveyofhallucinatio541")</f>
        <v>Surveyofhallucinatio541</v>
      </c>
      <c r="W542" s="1" t="s">
        <v>57</v>
      </c>
      <c r="AF542" s="1" t="s">
        <v>2293</v>
      </c>
      <c r="AM542" s="1">
        <v>12</v>
      </c>
      <c r="AP542" s="1" t="s">
        <v>2294</v>
      </c>
      <c r="AT542" s="1" t="s">
        <v>177</v>
      </c>
      <c r="AX542" s="1" t="s">
        <v>2295</v>
      </c>
      <c r="AZ542" t="s">
        <v>2807</v>
      </c>
      <c r="BB542" s="1">
        <v>55</v>
      </c>
      <c r="BC542" s="1">
        <v>2023</v>
      </c>
    </row>
    <row r="543" spans="1:55" ht="13" x14ac:dyDescent="0.15">
      <c r="G543" s="1" t="s">
        <v>2296</v>
      </c>
      <c r="N543" s="1" t="str">
        <f ca="1">IFERROR(__xludf.DUMMYFUNCTION("CONCAT(LEFT(REGEXREPLACE(AX543, ""[^A-Za-z0-9]"", """"), 20), TEXT(ROW(AX543)-1, ""000""))"),"SystemlevelTranspare542")</f>
        <v>SystemlevelTranspare542</v>
      </c>
      <c r="W543" s="1" t="s">
        <v>57</v>
      </c>
      <c r="AF543" s="1" t="s">
        <v>2297</v>
      </c>
      <c r="AX543" s="1" t="s">
        <v>2298</v>
      </c>
      <c r="AZ543" s="2" t="s">
        <v>2299</v>
      </c>
      <c r="BC543" s="1">
        <v>2022</v>
      </c>
    </row>
    <row r="544" spans="1:55" ht="13" x14ac:dyDescent="0.15">
      <c r="G544" s="1" t="s">
        <v>932</v>
      </c>
      <c r="N544" s="1" t="str">
        <f ca="1">IFERROR(__xludf.DUMMYFUNCTION("CONCAT(LEFT(REGEXREPLACE(AX544, ""[^A-Za-z0-9]"", """"), 20), TEXT(ROW(AX544)-1, ""000""))"),"Systemsandsoftwareen543")</f>
        <v>Systemsandsoftwareen543</v>
      </c>
      <c r="W544" s="1" t="s">
        <v>95</v>
      </c>
      <c r="AA544" s="1" t="s">
        <v>2300</v>
      </c>
      <c r="AM544" s="8">
        <v>1033.2756944444445</v>
      </c>
      <c r="AX544" s="1" t="s">
        <v>2301</v>
      </c>
      <c r="AZ544" t="s">
        <v>2730</v>
      </c>
      <c r="BC544" s="1">
        <v>2017</v>
      </c>
    </row>
    <row r="545" spans="3:55" ht="13" x14ac:dyDescent="0.15">
      <c r="G545" s="1" t="s">
        <v>2302</v>
      </c>
      <c r="M545" s="1" t="s">
        <v>2303</v>
      </c>
      <c r="N545" s="1" t="str">
        <f ca="1">IFERROR(__xludf.DUMMYFUNCTION("CONCAT(LEFT(REGEXREPLACE(AX545, ""[^A-Za-z0-9]"", """"), 20), TEXT(ROW(AX545)-1, ""000""))"),"tClosenessPrivacyBey544")</f>
        <v>tClosenessPrivacyBey544</v>
      </c>
      <c r="W545" s="1" t="s">
        <v>64</v>
      </c>
      <c r="AL545" s="1" t="s">
        <v>2304</v>
      </c>
      <c r="AO545" s="1" t="s">
        <v>750</v>
      </c>
      <c r="AP545" s="1" t="s">
        <v>2305</v>
      </c>
      <c r="AX545" s="1" t="s">
        <v>2306</v>
      </c>
      <c r="BC545" s="1">
        <v>2007</v>
      </c>
    </row>
    <row r="546" spans="3:55" ht="13" x14ac:dyDescent="0.15">
      <c r="G546" s="1" t="s">
        <v>2307</v>
      </c>
      <c r="M546" s="1" t="s">
        <v>2308</v>
      </c>
      <c r="N546" s="1" t="str">
        <f ca="1">IFERROR(__xludf.DUMMYFUNCTION("CONCAT(LEFT(REGEXREPLACE(AX546, ""[^A-Za-z0-9]"", """"), 20), TEXT(ROW(AX546)-1, ""000""))"),"TabArenaALivingBench545")</f>
        <v>TabArenaALivingBench545</v>
      </c>
      <c r="W546" s="1" t="s">
        <v>64</v>
      </c>
      <c r="AX546" s="1" t="s">
        <v>2309</v>
      </c>
      <c r="AZ546" t="s">
        <v>2731</v>
      </c>
    </row>
    <row r="547" spans="3:55" ht="13" x14ac:dyDescent="0.15">
      <c r="G547" s="1" t="s">
        <v>2310</v>
      </c>
      <c r="M547" s="1" t="s">
        <v>778</v>
      </c>
      <c r="N547" s="1" t="str">
        <f ca="1">IFERROR(__xludf.DUMMYFUNCTION("CONCAT(LEFT(REGEXREPLACE(AX547, ""[^A-Za-z0-9]"", """"), 20), TEXT(ROW(AX547)-1, ""000""))"),"TaskcontaminationLan546")</f>
        <v>TaskcontaminationLan546</v>
      </c>
      <c r="T547" s="1" t="s">
        <v>2311</v>
      </c>
      <c r="W547" s="1" t="s">
        <v>64</v>
      </c>
      <c r="AP547" s="1" t="s">
        <v>2312</v>
      </c>
      <c r="AX547" s="1" t="s">
        <v>2313</v>
      </c>
      <c r="AZ547" s="2" t="s">
        <v>2314</v>
      </c>
      <c r="BC547" s="1">
        <v>2024</v>
      </c>
    </row>
    <row r="548" spans="3:55" ht="13" x14ac:dyDescent="0.15">
      <c r="G548" s="1" t="s">
        <v>2315</v>
      </c>
      <c r="N548" s="1" t="str">
        <f ca="1">IFERROR(__xludf.DUMMYFUNCTION("CONCAT(LEFT(REGEXREPLACE(AX548, ""[^A-Za-z0-9]"", """"), 20), TEXT(ROW(AX548)-1, ""000""))"),"TaskbenchBenchmarkin547")</f>
        <v>TaskbenchBenchmarkin547</v>
      </c>
      <c r="W548" s="1" t="s">
        <v>57</v>
      </c>
      <c r="AF548" s="1" t="s">
        <v>447</v>
      </c>
      <c r="AP548" s="1" t="s">
        <v>2316</v>
      </c>
      <c r="AX548" s="1" t="s">
        <v>2317</v>
      </c>
      <c r="AZ548" t="s">
        <v>2808</v>
      </c>
      <c r="BB548" s="1">
        <v>37</v>
      </c>
      <c r="BC548" s="1">
        <v>2024</v>
      </c>
    </row>
    <row r="549" spans="3:55" ht="13" x14ac:dyDescent="0.15">
      <c r="G549" s="1" t="s">
        <v>2318</v>
      </c>
      <c r="N549" s="1" t="str">
        <f ca="1">IFERROR(__xludf.DUMMYFUNCTION("CONCAT(LEFT(REGEXREPLACE(AX549, ""[^A-Za-z0-9]"", """"), 20), TEXT(ROW(AX549)-1, ""000""))"),"TaxonomyofFailureMod548")</f>
        <v>TaxonomyofFailureMod548</v>
      </c>
      <c r="W549" s="1" t="s">
        <v>86</v>
      </c>
      <c r="AF549" s="1" t="s">
        <v>1720</v>
      </c>
      <c r="AL549" s="1" t="s">
        <v>2319</v>
      </c>
      <c r="AX549" s="1" t="s">
        <v>2320</v>
      </c>
      <c r="AZ549" s="12" t="s">
        <v>2321</v>
      </c>
      <c r="BC549" s="1">
        <v>2025</v>
      </c>
    </row>
    <row r="550" spans="3:55" ht="13" x14ac:dyDescent="0.15">
      <c r="G550" s="1" t="s">
        <v>2322</v>
      </c>
      <c r="M550" s="1" t="s">
        <v>2323</v>
      </c>
      <c r="N550" s="1" t="str">
        <f ca="1">IFERROR(__xludf.DUMMYFUNCTION("CONCAT(LEFT(REGEXREPLACE(AX550, ""[^A-Za-z0-9]"", """"), 20), TEXT(ROW(AX550)-1, ""000""))"),"TaxonomyofRisksPosed549")</f>
        <v>TaxonomyofRisksPosed549</v>
      </c>
      <c r="W550" s="1" t="s">
        <v>64</v>
      </c>
      <c r="AP550" s="1" t="s">
        <v>2324</v>
      </c>
      <c r="AX550" s="1" t="s">
        <v>2325</v>
      </c>
      <c r="AZ550" t="s">
        <v>2809</v>
      </c>
      <c r="BC550" s="1">
        <v>2022</v>
      </c>
    </row>
    <row r="551" spans="3:55" ht="13" x14ac:dyDescent="0.15">
      <c r="C551" s="1" t="s">
        <v>912</v>
      </c>
      <c r="G551" s="1" t="s">
        <v>2326</v>
      </c>
      <c r="L551" s="2" t="s">
        <v>2327</v>
      </c>
      <c r="N551" s="1" t="str">
        <f ca="1">IFERROR(__xludf.DUMMYFUNCTION("CONCAT(LEFT(REGEXREPLACE(AX551, ""[^A-Za-z0-9]"", """"), 20), TEXT(ROW(AX551)-1, ""000""))"),"TeachMeDataAnalysis550")</f>
        <v>TeachMeDataAnalysis550</v>
      </c>
      <c r="W551" s="1" t="s">
        <v>69</v>
      </c>
      <c r="AT551" s="1" t="s">
        <v>2328</v>
      </c>
      <c r="AX551" s="1" t="s">
        <v>2329</v>
      </c>
      <c r="AZ551" s="2" t="s">
        <v>2327</v>
      </c>
      <c r="BC551" s="1">
        <v>1999</v>
      </c>
    </row>
    <row r="552" spans="3:55" ht="13" x14ac:dyDescent="0.15">
      <c r="G552" s="1" t="s">
        <v>2330</v>
      </c>
      <c r="N552" s="1" t="str">
        <f ca="1">IFERROR(__xludf.DUMMYFUNCTION("CONCAT(LEFT(REGEXREPLACE(AX552, ""[^A-Za-z0-9]"", """"), 20), TEXT(ROW(AX552)-1, ""000""))"),"TechnicalReportonthe551")</f>
        <v>TechnicalReportonthe551</v>
      </c>
      <c r="W552" s="1" t="s">
        <v>57</v>
      </c>
      <c r="AF552" s="1" t="s">
        <v>2331</v>
      </c>
      <c r="AL552" s="1" t="s">
        <v>2332</v>
      </c>
      <c r="AX552" s="1" t="s">
        <v>2333</v>
      </c>
      <c r="BC552" s="1">
        <v>2018</v>
      </c>
    </row>
    <row r="553" spans="3:55" ht="13" x14ac:dyDescent="0.15">
      <c r="G553" s="1" t="s">
        <v>2334</v>
      </c>
      <c r="N553" s="1" t="str">
        <f ca="1">IFERROR(__xludf.DUMMYFUNCTION("CONCAT(LEFT(REGEXREPLACE(AX553, ""[^A-Za-z0-9]"", """"), 20), TEXT(ROW(AX553)-1, ""000""))"),"TestingMachineLearni552")</f>
        <v>TestingMachineLearni552</v>
      </c>
      <c r="W553" s="1" t="s">
        <v>86</v>
      </c>
      <c r="AL553" s="1" t="s">
        <v>2335</v>
      </c>
      <c r="AT553" s="1" t="s">
        <v>1923</v>
      </c>
      <c r="AX553" s="1" t="s">
        <v>2336</v>
      </c>
      <c r="BC553" s="1">
        <v>2018</v>
      </c>
    </row>
    <row r="554" spans="3:55" ht="13" x14ac:dyDescent="0.15">
      <c r="G554" s="1" t="s">
        <v>2337</v>
      </c>
      <c r="M554" s="1" t="s">
        <v>2338</v>
      </c>
      <c r="N554" s="1" t="str">
        <f ca="1">IFERROR(__xludf.DUMMYFUNCTION("CONCAT(LEFT(REGEXREPLACE(AX554, ""[^A-Za-z0-9]"", """"), 20), TEXT(ROW(AX554)-1, ""000""))"),"TextAttackAFramework553")</f>
        <v>TextAttackAFramework553</v>
      </c>
      <c r="W554" s="1" t="s">
        <v>64</v>
      </c>
      <c r="AP554" s="1" t="s">
        <v>2339</v>
      </c>
      <c r="AX554" s="1" t="s">
        <v>2340</v>
      </c>
      <c r="AZ554" s="2" t="s">
        <v>2341</v>
      </c>
      <c r="BC554" s="1">
        <v>2020</v>
      </c>
    </row>
    <row r="555" spans="3:55" ht="13" x14ac:dyDescent="0.15">
      <c r="G555" s="1" t="s">
        <v>2342</v>
      </c>
      <c r="N555" s="1" t="str">
        <f ca="1">IFERROR(__xludf.DUMMYFUNCTION("CONCAT(LEFT(REGEXREPLACE(AX555, ""[^A-Za-z0-9]"", """"), 20), TEXT(ROW(AX555)-1, ""000""))"),"The1980ACMTuringAwar554")</f>
        <v>The1980ACMTuringAwar554</v>
      </c>
      <c r="W555" s="1" t="s">
        <v>57</v>
      </c>
      <c r="AF555" s="1" t="s">
        <v>2343</v>
      </c>
      <c r="AL555" s="1" t="s">
        <v>2344</v>
      </c>
      <c r="AX555" s="1" t="s">
        <v>2345</v>
      </c>
      <c r="BC555" s="1">
        <v>1981</v>
      </c>
    </row>
    <row r="556" spans="3:55" ht="13" x14ac:dyDescent="0.15">
      <c r="G556" s="1" t="s">
        <v>2346</v>
      </c>
      <c r="N556" s="1" t="str">
        <f ca="1">IFERROR(__xludf.DUMMYFUNCTION("CONCAT(LEFT(REGEXREPLACE(AX556, ""[^A-Za-z0-9]"", """"), 20), TEXT(ROW(AX556)-1, ""000""))"),"TheAnxiousGeneration555")</f>
        <v>TheAnxiousGeneration555</v>
      </c>
      <c r="W556" s="1" t="s">
        <v>69</v>
      </c>
      <c r="AT556" s="1" t="s">
        <v>2347</v>
      </c>
      <c r="AX556" s="1" t="s">
        <v>2348</v>
      </c>
      <c r="AZ556" t="s">
        <v>2732</v>
      </c>
      <c r="BC556" s="1">
        <v>2024</v>
      </c>
    </row>
    <row r="557" spans="3:55" ht="13" x14ac:dyDescent="0.15">
      <c r="G557" s="1" t="s">
        <v>2349</v>
      </c>
      <c r="M557" s="1" t="s">
        <v>447</v>
      </c>
      <c r="N557" s="1" t="str">
        <f ca="1">IFERROR(__xludf.DUMMYFUNCTION("CONCAT(LEFT(REGEXREPLACE(AX557, ""[^A-Za-z0-9]"", """"), 20), TEXT(ROW(AX557)-1, ""000""))"),"TheArtofSayingNoCont556")</f>
        <v>TheArtofSayingNoCont556</v>
      </c>
      <c r="T557" s="1" t="s">
        <v>2350</v>
      </c>
      <c r="V557" s="1" t="s">
        <v>2351</v>
      </c>
      <c r="W557" s="1" t="s">
        <v>64</v>
      </c>
      <c r="AP557" s="1" t="s">
        <v>2352</v>
      </c>
      <c r="AT557" s="1" t="s">
        <v>199</v>
      </c>
      <c r="AX557" s="1" t="s">
        <v>2353</v>
      </c>
      <c r="AZ557" s="2" t="s">
        <v>2354</v>
      </c>
      <c r="BB557" s="1">
        <v>37</v>
      </c>
      <c r="BC557" s="1">
        <v>2024</v>
      </c>
    </row>
    <row r="558" spans="3:55" ht="13" x14ac:dyDescent="0.15">
      <c r="G558" s="1" t="s">
        <v>2355</v>
      </c>
      <c r="N558" s="1" t="str">
        <f ca="1">IFERROR(__xludf.DUMMYFUNCTION("CONCAT(LEFT(REGEXREPLACE(AX558, ""[^A-Za-z0-9]"", """"), 20), TEXT(ROW(AX558)-1, ""000""))"),"TheAssessingRisksand557")</f>
        <v>TheAssessingRisksand557</v>
      </c>
      <c r="W558" s="1" t="s">
        <v>95</v>
      </c>
      <c r="AA558" s="1" t="s">
        <v>285</v>
      </c>
      <c r="AX558" s="1" t="s">
        <v>2356</v>
      </c>
      <c r="AZ558" s="12" t="s">
        <v>2357</v>
      </c>
      <c r="BC558" s="1">
        <v>2024</v>
      </c>
    </row>
    <row r="560" spans="3:55" ht="13" x14ac:dyDescent="0.15">
      <c r="G560" s="1" t="s">
        <v>2358</v>
      </c>
      <c r="M560" s="1" t="s">
        <v>2359</v>
      </c>
      <c r="N560" s="1" t="str">
        <f ca="1">IFERROR(__xludf.DUMMYFUNCTION("CONCAT(LEFT(REGEXREPLACE(AX560, ""[^A-Za-z0-9]"", """"), 20), TEXT(ROW(AX560)-1, ""000""))"),"TheBelebeleBenchmark559")</f>
        <v>TheBelebeleBenchmark559</v>
      </c>
      <c r="T560" s="1" t="s">
        <v>2360</v>
      </c>
      <c r="W560" s="1" t="s">
        <v>64</v>
      </c>
      <c r="AP560" s="1" t="s">
        <v>2361</v>
      </c>
      <c r="AT560" s="1" t="s">
        <v>893</v>
      </c>
      <c r="AX560" s="1" t="s">
        <v>2362</v>
      </c>
      <c r="AZ560" s="2" t="s">
        <v>2363</v>
      </c>
      <c r="BC560" s="1">
        <v>2024</v>
      </c>
    </row>
    <row r="561" spans="3:55" ht="13" x14ac:dyDescent="0.15">
      <c r="G561" s="1" t="s">
        <v>2364</v>
      </c>
      <c r="N561" s="1" t="str">
        <f ca="1">IFERROR(__xludf.DUMMYFUNCTION("CONCAT(LEFT(REGEXREPLACE(AX561, ""[^A-Za-z0-9]"", """"), 20), TEXT(ROW(AX561)-1, ""000""))"),"TheBookofWhytheNewSc560")</f>
        <v>TheBookofWhytheNewSc560</v>
      </c>
      <c r="W561" s="1" t="s">
        <v>69</v>
      </c>
      <c r="AL561" s="1" t="s">
        <v>2365</v>
      </c>
      <c r="AT561" s="1" t="s">
        <v>2366</v>
      </c>
      <c r="AX561" s="1" t="s">
        <v>2367</v>
      </c>
      <c r="BC561" s="1">
        <v>2018</v>
      </c>
    </row>
    <row r="562" spans="3:55" ht="13" x14ac:dyDescent="0.15">
      <c r="G562" s="1" t="s">
        <v>2368</v>
      </c>
      <c r="N562" s="1" t="str">
        <f ca="1">IFERROR(__xludf.DUMMYFUNCTION("CONCAT(LEFT(REGEXREPLACE(AX562, ""[^A-Za-z0-9]"", """"), 20), TEXT(ROW(AX562)-1, ""000""))"),"Thechatbotusabilitys561")</f>
        <v>Thechatbotusabilitys561</v>
      </c>
      <c r="W562" s="1" t="s">
        <v>57</v>
      </c>
      <c r="AF562" s="1" t="s">
        <v>2369</v>
      </c>
      <c r="AM562" s="1">
        <v>1</v>
      </c>
      <c r="AP562" s="1" t="s">
        <v>2370</v>
      </c>
      <c r="AX562" s="1" t="s">
        <v>2371</v>
      </c>
      <c r="AZ562" t="s">
        <v>2733</v>
      </c>
      <c r="BB562" s="1">
        <v>26</v>
      </c>
      <c r="BC562" s="1">
        <v>2022</v>
      </c>
    </row>
    <row r="563" spans="3:55" ht="13" x14ac:dyDescent="0.15">
      <c r="E563" s="1" t="s">
        <v>91</v>
      </c>
      <c r="G563" s="1" t="s">
        <v>2372</v>
      </c>
      <c r="N563" s="1" t="str">
        <f ca="1">IFERROR(__xludf.DUMMYFUNCTION("CONCAT(LEFT(REGEXREPLACE(AX563, ""[^A-Za-z0-9]"", """"), 20), TEXT(ROW(AX563)-1, ""000""))"),"TheCurseofRecursionT562")</f>
        <v>TheCurseofRecursionT562</v>
      </c>
      <c r="W563" s="1" t="s">
        <v>86</v>
      </c>
      <c r="X563" s="1">
        <v>2305.1749300000001</v>
      </c>
      <c r="AS563" s="1" t="s">
        <v>1538</v>
      </c>
      <c r="AX563" s="1" t="s">
        <v>2373</v>
      </c>
      <c r="AZ563" s="2" t="s">
        <v>2374</v>
      </c>
      <c r="BC563" s="1">
        <v>2024</v>
      </c>
    </row>
    <row r="564" spans="3:55" ht="13" x14ac:dyDescent="0.15">
      <c r="G564" s="1" t="s">
        <v>2375</v>
      </c>
      <c r="N564" s="1" t="str">
        <f ca="1">IFERROR(__xludf.DUMMYFUNCTION("CONCAT(LEFT(REGEXREPLACE(AX564, ""[^A-Za-z0-9]"", """"), 20), TEXT(ROW(AX564)-1, ""000""))"),"TheDataScientificMet563")</f>
        <v>TheDataScientificMet563</v>
      </c>
      <c r="W564" s="1" t="s">
        <v>86</v>
      </c>
      <c r="AL564" s="1" t="s">
        <v>2376</v>
      </c>
      <c r="AT564" s="1" t="s">
        <v>2377</v>
      </c>
      <c r="AX564" s="1" t="s">
        <v>2378</v>
      </c>
      <c r="BC564" s="1">
        <v>2022</v>
      </c>
    </row>
    <row r="565" spans="3:55" ht="13" x14ac:dyDescent="0.15">
      <c r="G565" s="1" t="s">
        <v>2379</v>
      </c>
      <c r="N565" s="1" t="str">
        <f ca="1">IFERROR(__xludf.DUMMYFUNCTION("CONCAT(LEFT(REGEXREPLACE(AX565, ""[^A-Za-z0-9]"", """"), 20), TEXT(ROW(AX565)-1, ""000""))"),"TheDatasetNutritionL564")</f>
        <v>TheDatasetNutritionL564</v>
      </c>
      <c r="W565" s="1" t="s">
        <v>57</v>
      </c>
      <c r="AF565" s="1" t="s">
        <v>2380</v>
      </c>
      <c r="AM565" s="1">
        <v>12</v>
      </c>
      <c r="AP565" s="1">
        <v>1</v>
      </c>
      <c r="AT565" s="1" t="s">
        <v>2381</v>
      </c>
      <c r="AX565" s="1" t="s">
        <v>2382</v>
      </c>
      <c r="AZ565" s="2" t="s">
        <v>2383</v>
      </c>
      <c r="BB565" s="1">
        <v>12</v>
      </c>
      <c r="BC565" s="1">
        <v>2020</v>
      </c>
    </row>
    <row r="566" spans="3:55" ht="13" x14ac:dyDescent="0.15">
      <c r="C566" s="1" t="s">
        <v>912</v>
      </c>
      <c r="G566" s="1" t="s">
        <v>231</v>
      </c>
      <c r="M566" s="1" t="s">
        <v>2384</v>
      </c>
      <c r="N566" s="1" t="str">
        <f ca="1">IFERROR(__xludf.DUMMYFUNCTION("CONCAT(LEFT(REGEXREPLACE(AX566, ""[^A-Za-z0-9]"", """"), 20), TEXT(ROW(AX566)-1, ""000""))"),"TheElementsofStatist565")</f>
        <v>TheElementsofStatist565</v>
      </c>
      <c r="W566" s="1" t="s">
        <v>69</v>
      </c>
      <c r="AL566" s="1" t="s">
        <v>2385</v>
      </c>
      <c r="AT566" s="1" t="s">
        <v>193</v>
      </c>
      <c r="AX566" s="1" t="s">
        <v>2386</v>
      </c>
      <c r="BC566" s="1">
        <v>2001</v>
      </c>
    </row>
    <row r="567" spans="3:55" ht="13" x14ac:dyDescent="0.15">
      <c r="G567" s="1" t="s">
        <v>2387</v>
      </c>
      <c r="N567" s="1" t="str">
        <f ca="1">IFERROR(__xludf.DUMMYFUNCTION("CONCAT(LEFT(REGEXREPLACE(AX567, ""[^A-Za-z0-9]"", """"), 20), TEXT(ROW(AX567)-1, ""000""))"),"TheEvolutionofAnalyt566")</f>
        <v>TheEvolutionofAnalyt566</v>
      </c>
      <c r="W567" s="1" t="s">
        <v>86</v>
      </c>
      <c r="AL567" s="1" t="s">
        <v>2388</v>
      </c>
      <c r="AT567" s="1" t="s">
        <v>337</v>
      </c>
      <c r="AX567" s="1" t="s">
        <v>2389</v>
      </c>
      <c r="BC567" s="1">
        <v>2016</v>
      </c>
    </row>
    <row r="568" spans="3:55" ht="13" x14ac:dyDescent="0.15">
      <c r="G568" s="1" t="s">
        <v>2390</v>
      </c>
      <c r="M568" s="1" t="s">
        <v>693</v>
      </c>
      <c r="N568" s="1" t="str">
        <f ca="1">IFERROR(__xludf.DUMMYFUNCTION("CONCAT(LEFT(REGEXREPLACE(AX568, ""[^A-Za-z0-9]"", """"), 20), TEXT(ROW(AX568)-1, ""000""))"),"ThefallacyofAIfuncti567")</f>
        <v>ThefallacyofAIfuncti567</v>
      </c>
      <c r="W568" s="1" t="s">
        <v>64</v>
      </c>
      <c r="AP568" s="1" t="s">
        <v>2391</v>
      </c>
      <c r="AX568" s="1" t="s">
        <v>2392</v>
      </c>
      <c r="AZ568" t="s">
        <v>2811</v>
      </c>
      <c r="BC568" s="1">
        <v>2022</v>
      </c>
    </row>
    <row r="569" spans="3:55" ht="13" x14ac:dyDescent="0.15">
      <c r="G569" s="1" t="s">
        <v>2393</v>
      </c>
      <c r="N569" s="1" t="str">
        <f ca="1">IFERROR(__xludf.DUMMYFUNCTION("CONCAT(LEFT(REGEXREPLACE(AX569, ""[^A-Za-z0-9]"", """"), 20), TEXT(ROW(AX569)-1, ""000""))"),"TheFutureofAnalytics568")</f>
        <v>TheFutureofAnalytics568</v>
      </c>
      <c r="W569" s="1" t="s">
        <v>86</v>
      </c>
      <c r="AL569" s="1" t="s">
        <v>2394</v>
      </c>
      <c r="AT569" s="1" t="s">
        <v>337</v>
      </c>
      <c r="AX569" s="1" t="s">
        <v>2395</v>
      </c>
      <c r="BC569" s="1">
        <v>2020</v>
      </c>
    </row>
    <row r="570" spans="3:55" ht="13" x14ac:dyDescent="0.15">
      <c r="G570" s="1" t="s">
        <v>2396</v>
      </c>
      <c r="N570" s="1" t="str">
        <f ca="1">IFERROR(__xludf.DUMMYFUNCTION("CONCAT(LEFT(REGEXREPLACE(AX570, ""[^A-Za-z0-9]"", """"), 20), TEXT(ROW(AX570)-1, ""000""))"),"TheGrammarofGraphics569")</f>
        <v>TheGrammarofGraphics569</v>
      </c>
      <c r="W570" s="1" t="s">
        <v>69</v>
      </c>
      <c r="AX570" s="1" t="s">
        <v>2397</v>
      </c>
      <c r="AZ570" t="s">
        <v>2810</v>
      </c>
      <c r="BC570" s="1">
        <v>2006</v>
      </c>
    </row>
    <row r="571" spans="3:55" ht="13" x14ac:dyDescent="0.15">
      <c r="G571" s="1" t="s">
        <v>2398</v>
      </c>
      <c r="N571" s="1" t="str">
        <f ca="1">IFERROR(__xludf.DUMMYFUNCTION("CONCAT(LEFT(REGEXREPLACE(AX571, ""[^A-Za-z0-9]"", """"), 20), TEXT(ROW(AX571)-1, ""000""))"),"TheHAXToolkitProject570")</f>
        <v>TheHAXToolkitProject570</v>
      </c>
      <c r="W571" s="1" t="s">
        <v>86</v>
      </c>
      <c r="Z571" s="1" t="s">
        <v>2399</v>
      </c>
      <c r="AL571" s="1" t="s">
        <v>2400</v>
      </c>
      <c r="AX571" s="1" t="s">
        <v>2401</v>
      </c>
    </row>
    <row r="572" spans="3:55" ht="13" x14ac:dyDescent="0.15">
      <c r="G572" s="1" t="s">
        <v>2402</v>
      </c>
      <c r="N572" s="1" t="str">
        <f ca="1">IFERROR(__xludf.DUMMYFUNCTION("CONCAT(LEFT(REGEXREPLACE(AX572, ""[^A-Za-z0-9]"", """"), 20), TEXT(ROW(AX572)-1, ""000""))"),"TheHeilmeierCatechis571")</f>
        <v>TheHeilmeierCatechis571</v>
      </c>
      <c r="W572" s="1" t="s">
        <v>86</v>
      </c>
      <c r="Z572" s="1" t="s">
        <v>2403</v>
      </c>
      <c r="AL572" s="1" t="s">
        <v>2404</v>
      </c>
      <c r="AX572" s="1" t="s">
        <v>2405</v>
      </c>
      <c r="BC572" s="1" t="s">
        <v>2406</v>
      </c>
    </row>
    <row r="573" spans="3:55" ht="13" x14ac:dyDescent="0.15">
      <c r="E573" s="1" t="s">
        <v>91</v>
      </c>
      <c r="G573" s="1" t="s">
        <v>2407</v>
      </c>
      <c r="N573" s="1" t="str">
        <f ca="1">IFERROR(__xludf.DUMMYFUNCTION("CONCAT(LEFT(REGEXREPLACE(AX573, ""[^A-Za-z0-9]"", """"), 20), TEXT(ROW(AX573)-1, ""000""))"),"TheHistoryandRisksof572")</f>
        <v>TheHistoryandRisksof572</v>
      </c>
      <c r="W573" s="1" t="s">
        <v>86</v>
      </c>
      <c r="X573" s="1">
        <v>2310.1359499999999</v>
      </c>
      <c r="AS573" s="2" t="s">
        <v>152</v>
      </c>
      <c r="AX573" s="1" t="s">
        <v>2408</v>
      </c>
      <c r="AZ573" s="2" t="s">
        <v>2409</v>
      </c>
      <c r="BC573" s="1">
        <v>2023</v>
      </c>
    </row>
    <row r="574" spans="3:55" ht="13" x14ac:dyDescent="0.15">
      <c r="E574" s="1" t="s">
        <v>91</v>
      </c>
      <c r="G574" s="1" t="s">
        <v>2410</v>
      </c>
      <c r="N574" s="1" t="str">
        <f ca="1">IFERROR(__xludf.DUMMYFUNCTION("CONCAT(LEFT(REGEXREPLACE(AX574, ""[^A-Za-z0-9]"", """"), 20), TEXT(ROW(AX574)-1, ""000""))"),"TheHumanFactorinAIRe573")</f>
        <v>TheHumanFactorinAIRe573</v>
      </c>
      <c r="T574" s="2" t="s">
        <v>2411</v>
      </c>
      <c r="W574" s="1" t="s">
        <v>86</v>
      </c>
      <c r="X574" s="1">
        <v>2407.0778599999999</v>
      </c>
      <c r="AS574" s="1" t="s">
        <v>1179</v>
      </c>
      <c r="AX574" s="1" t="s">
        <v>2412</v>
      </c>
      <c r="AZ574" s="2" t="s">
        <v>2413</v>
      </c>
      <c r="BC574" s="1">
        <v>2024</v>
      </c>
    </row>
    <row r="575" spans="3:55" ht="13" x14ac:dyDescent="0.15">
      <c r="G575" s="1" t="s">
        <v>2414</v>
      </c>
      <c r="N575" s="1" t="str">
        <f ca="1">IFERROR(__xludf.DUMMYFUNCTION("CONCAT(LEFT(REGEXREPLACE(AX575, ""[^A-Za-z0-9]"", """"), 20), TEXT(ROW(AX575)-1, ""000""))"),"TheimpactofAIonthewo574")</f>
        <v>TheimpactofAIonthewo574</v>
      </c>
      <c r="T575" s="2" t="s">
        <v>2415</v>
      </c>
      <c r="W575" s="1" t="s">
        <v>57</v>
      </c>
      <c r="AC575" s="1" t="s">
        <v>2416</v>
      </c>
      <c r="AF575" s="1" t="s">
        <v>2417</v>
      </c>
      <c r="AG575" s="1" t="s">
        <v>2418</v>
      </c>
      <c r="AP575" s="1">
        <v>111971</v>
      </c>
      <c r="AX575" s="1" t="s">
        <v>2419</v>
      </c>
      <c r="AZ575" s="2" t="s">
        <v>2420</v>
      </c>
      <c r="BB575" s="1">
        <v>244</v>
      </c>
      <c r="BC575" s="1">
        <v>2024</v>
      </c>
    </row>
    <row r="576" spans="3:55" ht="13" x14ac:dyDescent="0.15">
      <c r="G576" s="1" t="s">
        <v>2421</v>
      </c>
      <c r="N576" s="1" t="str">
        <f ca="1">IFERROR(__xludf.DUMMYFUNCTION("CONCAT(LEFT(REGEXREPLACE(AX576, ""[^A-Za-z0-9]"", """"), 20), TEXT(ROW(AX576)-1, ""000""))"),"TheLanguageofTrustwo575")</f>
        <v>TheLanguageofTrustwo575</v>
      </c>
      <c r="W576" s="1" t="s">
        <v>57</v>
      </c>
      <c r="AL576" s="1" t="s">
        <v>2422</v>
      </c>
      <c r="AT576" s="1" t="s">
        <v>285</v>
      </c>
      <c r="AX576" s="1" t="s">
        <v>2423</v>
      </c>
      <c r="BC576" s="1">
        <v>2023</v>
      </c>
    </row>
    <row r="577" spans="1:55" ht="13" x14ac:dyDescent="0.15">
      <c r="E577" s="1" t="s">
        <v>91</v>
      </c>
      <c r="G577" s="1" t="s">
        <v>2424</v>
      </c>
      <c r="N577" s="1" t="str">
        <f ca="1">IFERROR(__xludf.DUMMYFUNCTION("CONCAT(LEFT(REGEXREPLACE(AX577, ""[^A-Za-z0-9]"", """"), 20), TEXT(ROW(AX577)-1, ""000""))"),"TheLeaderboardIllusi576")</f>
        <v>TheLeaderboardIllusi576</v>
      </c>
      <c r="W577" s="1" t="s">
        <v>86</v>
      </c>
      <c r="X577" s="1">
        <v>2504.2087900000001</v>
      </c>
      <c r="AS577" s="2" t="s">
        <v>486</v>
      </c>
      <c r="AX577" s="1" t="s">
        <v>2425</v>
      </c>
      <c r="AZ577" s="2" t="s">
        <v>2426</v>
      </c>
      <c r="BC577" s="1">
        <v>2025</v>
      </c>
    </row>
    <row r="578" spans="1:55" ht="13" x14ac:dyDescent="0.15">
      <c r="G578" s="1" t="s">
        <v>2427</v>
      </c>
      <c r="N578" s="1" t="str">
        <f ca="1">IFERROR(__xludf.DUMMYFUNCTION("CONCAT(LEFT(REGEXREPLACE(AX578, ""[^A-Za-z0-9]"", """"), 20), TEXT(ROW(AX578)-1, ""000""))"),"Thelogicofscientific577")</f>
        <v>Thelogicofscientific577</v>
      </c>
      <c r="W578" s="1" t="s">
        <v>69</v>
      </c>
      <c r="AT578" s="1" t="s">
        <v>668</v>
      </c>
      <c r="AX578" s="1" t="s">
        <v>2428</v>
      </c>
      <c r="AZ578" t="s">
        <v>2812</v>
      </c>
      <c r="BC578" s="1">
        <v>2005</v>
      </c>
    </row>
    <row r="579" spans="1:55" ht="13" x14ac:dyDescent="0.15">
      <c r="G579" s="1" t="s">
        <v>2429</v>
      </c>
      <c r="L579" s="2" t="s">
        <v>2430</v>
      </c>
      <c r="N579" s="1" t="str">
        <f ca="1">IFERROR(__xludf.DUMMYFUNCTION("CONCAT(LEFT(REGEXREPLACE(AX579, ""[^A-Za-z0-9]"", """"), 20), TEXT(ROW(AX579)-1, ""000""))"),"TheMNISTDatabaseOfHa578")</f>
        <v>TheMNISTDatabaseOfHa578</v>
      </c>
      <c r="W579" s="1" t="s">
        <v>1300</v>
      </c>
      <c r="AX579" s="1" t="s">
        <v>2431</v>
      </c>
      <c r="AZ579" s="2" t="s">
        <v>2430</v>
      </c>
    </row>
    <row r="580" spans="1:55" ht="13" x14ac:dyDescent="0.15">
      <c r="G580" s="1" t="s">
        <v>2432</v>
      </c>
      <c r="N580" s="1" t="str">
        <f ca="1">IFERROR(__xludf.DUMMYFUNCTION("CONCAT(LEFT(REGEXREPLACE(AX580, ""[^A-Za-z0-9]"", """"), 20), TEXT(ROW(AX580)-1, ""000""))"),"Themultimodalbraintu579")</f>
        <v>Themultimodalbraintu579</v>
      </c>
      <c r="W580" s="1" t="s">
        <v>57</v>
      </c>
      <c r="AF580" s="1" t="s">
        <v>2433</v>
      </c>
      <c r="AM580" s="1">
        <v>10</v>
      </c>
      <c r="AP580" s="1" t="s">
        <v>2434</v>
      </c>
      <c r="AT580" s="1" t="s">
        <v>750</v>
      </c>
      <c r="AX580" s="1" t="s">
        <v>2435</v>
      </c>
      <c r="AZ580" t="s">
        <v>2734</v>
      </c>
      <c r="BB580" s="1">
        <v>34</v>
      </c>
      <c r="BC580" s="1">
        <v>2014</v>
      </c>
    </row>
    <row r="581" spans="1:55" ht="13" x14ac:dyDescent="0.15">
      <c r="G581" s="1" t="s">
        <v>2436</v>
      </c>
      <c r="N581" s="1" t="str">
        <f ca="1">IFERROR(__xludf.DUMMYFUNCTION("CONCAT(LEFT(REGEXREPLACE(AX581, ""[^A-Za-z0-9]"", """"), 20), TEXT(ROW(AX581)-1, ""000""))"),"TheMythosofModelInte580")</f>
        <v>TheMythosofModelInte580</v>
      </c>
      <c r="W581" s="1" t="s">
        <v>57</v>
      </c>
      <c r="AF581" s="1" t="s">
        <v>2437</v>
      </c>
      <c r="AL581" s="1" t="s">
        <v>2438</v>
      </c>
      <c r="AX581" s="1" t="s">
        <v>2439</v>
      </c>
      <c r="BC581" s="1">
        <v>2016</v>
      </c>
    </row>
    <row r="582" spans="1:55" ht="13" x14ac:dyDescent="0.15">
      <c r="G582" s="1" t="s">
        <v>2440</v>
      </c>
      <c r="N582" s="1" t="str">
        <f ca="1">IFERROR(__xludf.DUMMYFUNCTION("CONCAT(LEFT(REGEXREPLACE(AX582, ""[^A-Za-z0-9]"", """"), 20), TEXT(ROW(AX582)-1, ""000""))"),"Thenetworkscienceofc581")</f>
        <v>Thenetworkscienceofc581</v>
      </c>
      <c r="W582" s="1" t="s">
        <v>57</v>
      </c>
      <c r="AF582" s="1" t="s">
        <v>2441</v>
      </c>
      <c r="AM582" s="1">
        <v>11</v>
      </c>
      <c r="AP582" s="1" t="s">
        <v>2442</v>
      </c>
      <c r="AX582" s="1" t="s">
        <v>2443</v>
      </c>
      <c r="AZ582" s="2" t="s">
        <v>2444</v>
      </c>
      <c r="BB582" s="1">
        <v>26</v>
      </c>
      <c r="BC582" s="1">
        <v>2022</v>
      </c>
    </row>
    <row r="583" spans="1:55" ht="13" x14ac:dyDescent="0.15">
      <c r="G583" s="1" t="s">
        <v>2445</v>
      </c>
      <c r="N583" s="1" t="str">
        <f ca="1">IFERROR(__xludf.DUMMYFUNCTION("CONCAT(LEFT(REGEXREPLACE(AX583, ""[^A-Za-z0-9]"", """"), 20), TEXT(ROW(AX583)-1, ""000""))"),"TheNISTAssessingRisk582")</f>
        <v>TheNISTAssessingRisk582</v>
      </c>
      <c r="W583" s="1" t="s">
        <v>95</v>
      </c>
      <c r="AA583" s="1" t="s">
        <v>285</v>
      </c>
      <c r="AL583" s="1" t="s">
        <v>2446</v>
      </c>
      <c r="AX583" s="1" t="s">
        <v>2447</v>
      </c>
      <c r="BC583" s="1">
        <v>2024</v>
      </c>
    </row>
    <row r="584" spans="1:55" ht="13" x14ac:dyDescent="0.15">
      <c r="G584" s="1" t="s">
        <v>1011</v>
      </c>
      <c r="N584" s="1" t="str">
        <f ca="1">IFERROR(__xludf.DUMMYFUNCTION("CONCAT(LEFT(REGEXREPLACE(AX584, ""[^A-Za-z0-9]"", """"), 20), TEXT(ROW(AX584)-1, ""000""))"),"ThePreoccupationwith583")</f>
        <v>ThePreoccupationwith583</v>
      </c>
      <c r="W584" s="1" t="s">
        <v>86</v>
      </c>
      <c r="AL584" s="1" t="s">
        <v>2448</v>
      </c>
      <c r="AT584" s="1" t="s">
        <v>1923</v>
      </c>
      <c r="AX584" s="1" t="s">
        <v>2449</v>
      </c>
      <c r="BC584" s="1">
        <v>2016</v>
      </c>
    </row>
    <row r="585" spans="1:55" ht="13" x14ac:dyDescent="0.15">
      <c r="G585" s="1" t="s">
        <v>2450</v>
      </c>
      <c r="N585" s="1" t="str">
        <f ca="1">IFERROR(__xludf.DUMMYFUNCTION("CONCAT(LEFT(REGEXREPLACE(AX585, ""[^A-Za-z0-9]"", """"), 20), TEXT(ROW(AX585)-1, ""000""))"),"ThePrincipleofGoodFa584")</f>
        <v>ThePrincipleofGoodFa584</v>
      </c>
      <c r="T585" s="1" t="s">
        <v>2451</v>
      </c>
      <c r="W585" s="1" t="s">
        <v>57</v>
      </c>
      <c r="AF585" s="1" t="s">
        <v>2452</v>
      </c>
      <c r="AP585" s="1" t="s">
        <v>2453</v>
      </c>
      <c r="AX585" s="1" t="s">
        <v>2454</v>
      </c>
      <c r="BB585" s="1">
        <v>121</v>
      </c>
      <c r="BC585" s="1">
        <v>2014</v>
      </c>
    </row>
    <row r="586" spans="1:55" ht="13" x14ac:dyDescent="0.15">
      <c r="G586" s="1" t="s">
        <v>2455</v>
      </c>
      <c r="N586" s="1" t="str">
        <f ca="1">IFERROR(__xludf.DUMMYFUNCTION("CONCAT(LEFT(REGEXREPLACE(AX586, ""[^A-Za-z0-9]"", """"), 20), TEXT(ROW(AX586)-1, ""000""))"),"Theproblemofmranking585")</f>
        <v>Theproblemofmranking585</v>
      </c>
      <c r="W586" s="1" t="s">
        <v>57</v>
      </c>
      <c r="AF586" s="1" t="s">
        <v>2456</v>
      </c>
      <c r="AM586" s="1">
        <v>3</v>
      </c>
      <c r="AP586" s="1" t="s">
        <v>2457</v>
      </c>
      <c r="AT586" s="1" t="s">
        <v>1281</v>
      </c>
      <c r="AX586" s="1" t="s">
        <v>2458</v>
      </c>
      <c r="AZ586" s="2" t="s">
        <v>2459</v>
      </c>
      <c r="BB586" s="1">
        <v>10</v>
      </c>
      <c r="BC586" s="1">
        <v>1939</v>
      </c>
    </row>
    <row r="587" spans="1:55" ht="13" x14ac:dyDescent="0.15">
      <c r="G587" s="1" t="s">
        <v>2460</v>
      </c>
      <c r="N587" s="1" t="str">
        <f ca="1">IFERROR(__xludf.DUMMYFUNCTION("CONCAT(LEFT(REGEXREPLACE(AX587, ""[^A-Za-z0-9]"", """"), 20), TEXT(ROW(AX587)-1, ""000""))"),"Thereplicationcrisis586")</f>
        <v>Thereplicationcrisis586</v>
      </c>
      <c r="T587" s="1" t="s">
        <v>2461</v>
      </c>
      <c r="W587" s="1" t="s">
        <v>57</v>
      </c>
      <c r="AF587" s="1" t="s">
        <v>2462</v>
      </c>
      <c r="AX587" s="1" t="s">
        <v>2463</v>
      </c>
      <c r="BC587" s="1">
        <v>2023</v>
      </c>
    </row>
    <row r="588" spans="1:55" ht="13" x14ac:dyDescent="0.15">
      <c r="A588" s="1" t="s">
        <v>2464</v>
      </c>
      <c r="N588" s="1" t="str">
        <f ca="1">IFERROR(__xludf.DUMMYFUNCTION("CONCAT(LEFT(REGEXREPLACE(AX588, ""[^A-Za-z0-9]"", """"), 20), TEXT(ROW(AX588)-1, ""000""))"),"TheriskofdeskillingW587")</f>
        <v>TheriskofdeskillingW587</v>
      </c>
      <c r="W588" s="1" t="s">
        <v>86</v>
      </c>
      <c r="AF588" s="1" t="s">
        <v>2465</v>
      </c>
      <c r="AH588" s="1" t="s">
        <v>114</v>
      </c>
      <c r="AX588" s="1" t="s">
        <v>2466</v>
      </c>
      <c r="AZ588" s="2" t="s">
        <v>2467</v>
      </c>
      <c r="BA588" s="3">
        <v>45793</v>
      </c>
    </row>
    <row r="589" spans="1:55" ht="13" x14ac:dyDescent="0.15">
      <c r="G589" s="1" t="s">
        <v>2468</v>
      </c>
      <c r="N589" s="1" t="str">
        <f ca="1">IFERROR(__xludf.DUMMYFUNCTION("CONCAT(LEFT(REGEXREPLACE(AX589, ""[^A-Za-z0-9]"", """"), 20), TEXT(ROW(AX589)-1, ""000""))"),"TheSecurityofMachine588")</f>
        <v>TheSecurityofMachine588</v>
      </c>
      <c r="W589" s="1" t="s">
        <v>57</v>
      </c>
      <c r="AF589" s="1" t="s">
        <v>1644</v>
      </c>
      <c r="AL589" s="1" t="s">
        <v>2469</v>
      </c>
      <c r="AM589" s="1">
        <v>2</v>
      </c>
      <c r="AP589" s="1" t="s">
        <v>2470</v>
      </c>
      <c r="AT589" s="1" t="s">
        <v>193</v>
      </c>
      <c r="AX589" s="1" t="s">
        <v>2471</v>
      </c>
      <c r="BB589" s="1">
        <v>81</v>
      </c>
      <c r="BC589" s="1">
        <v>2010</v>
      </c>
    </row>
    <row r="590" spans="1:55" ht="13" x14ac:dyDescent="0.15">
      <c r="G590" s="1" t="s">
        <v>2472</v>
      </c>
      <c r="N590" s="1" t="str">
        <f ca="1">IFERROR(__xludf.DUMMYFUNCTION("CONCAT(LEFT(REGEXREPLACE(AX590, ""[^A-Za-z0-9]"", """"), 20), TEXT(ROW(AX590)-1, ""000""))"),"TheShapleyValueEssay589")</f>
        <v>TheShapleyValueEssay589</v>
      </c>
      <c r="W590" s="1" t="s">
        <v>69</v>
      </c>
      <c r="AL590" s="1" t="s">
        <v>2473</v>
      </c>
      <c r="AT590" s="1" t="s">
        <v>1699</v>
      </c>
      <c r="AX590" s="1" t="s">
        <v>2474</v>
      </c>
      <c r="BC590" s="1">
        <v>1988</v>
      </c>
    </row>
    <row r="591" spans="1:55" ht="13" x14ac:dyDescent="0.15">
      <c r="G591" s="1" t="s">
        <v>2475</v>
      </c>
      <c r="N591" s="1" t="str">
        <f ca="1">IFERROR(__xludf.DUMMYFUNCTION("CONCAT(LEFT(REGEXREPLACE(AX591, ""[^A-Za-z0-9]"", """"), 20), TEXT(ROW(AX591)-1, ""000""))"),"TheSimpleMacroeconom590")</f>
        <v>TheSimpleMacroeconom590</v>
      </c>
      <c r="T591" s="1" t="s">
        <v>2476</v>
      </c>
      <c r="W591" s="1" t="s">
        <v>95</v>
      </c>
      <c r="AA591" s="1" t="s">
        <v>2477</v>
      </c>
      <c r="AK591" s="1" t="s">
        <v>129</v>
      </c>
      <c r="AM591" s="1">
        <v>32487</v>
      </c>
      <c r="AV591" s="1" t="s">
        <v>2478</v>
      </c>
      <c r="AX591" s="1" t="s">
        <v>2479</v>
      </c>
      <c r="AY591" s="1" t="s">
        <v>2480</v>
      </c>
      <c r="AZ591" s="2" t="s">
        <v>2481</v>
      </c>
      <c r="BC591" s="1">
        <v>2024</v>
      </c>
    </row>
    <row r="592" spans="1:55" ht="13" x14ac:dyDescent="0.15">
      <c r="G592" s="1" t="s">
        <v>2482</v>
      </c>
      <c r="N592" s="1" t="str">
        <f ca="1">IFERROR(__xludf.DUMMYFUNCTION("CONCAT(LEFT(REGEXREPLACE(AX592, ""[^A-Za-z0-9]"", """"), 20), TEXT(ROW(AX592)-1, ""000""))"),"TheStateofAIGovernan591")</f>
        <v>TheStateofAIGovernan591</v>
      </c>
      <c r="T592" s="1" t="s">
        <v>2483</v>
      </c>
      <c r="W592" s="1" t="s">
        <v>69</v>
      </c>
      <c r="AK592" s="1" t="s">
        <v>89</v>
      </c>
      <c r="AT592" s="1" t="s">
        <v>2484</v>
      </c>
      <c r="AX592" s="1" t="s">
        <v>2485</v>
      </c>
      <c r="AZ592" s="2" t="s">
        <v>2486</v>
      </c>
      <c r="BC592" s="1">
        <v>2025</v>
      </c>
    </row>
    <row r="593" spans="3:55" ht="13" x14ac:dyDescent="0.15">
      <c r="G593" s="1" t="s">
        <v>2487</v>
      </c>
      <c r="N593" s="1" t="str">
        <f ca="1">IFERROR(__xludf.DUMMYFUNCTION("CONCAT(LEFT(REGEXREPLACE(AX593, ""[^A-Za-z0-9]"", """"), 20), TEXT(ROW(AX593)-1, ""000""))"),"TheStructureofScient592")</f>
        <v>TheStructureofScient592</v>
      </c>
      <c r="W593" s="1" t="s">
        <v>69</v>
      </c>
      <c r="AT593" s="1" t="s">
        <v>2488</v>
      </c>
      <c r="AX593" s="1" t="s">
        <v>2489</v>
      </c>
      <c r="AZ593" t="s">
        <v>2735</v>
      </c>
      <c r="BC593" s="1">
        <v>1970</v>
      </c>
    </row>
    <row r="594" spans="3:55" ht="13" x14ac:dyDescent="0.15">
      <c r="E594" s="1" t="s">
        <v>91</v>
      </c>
      <c r="G594" s="1" t="s">
        <v>2490</v>
      </c>
      <c r="N594" s="1" t="str">
        <f ca="1">IFERROR(__xludf.DUMMYFUNCTION("CONCAT(LEFT(REGEXREPLACE(AX594, ""[^A-Za-z0-9]"", """"), 20), TEXT(ROW(AX594)-1, ""000""))"),"TheWMDPBenchmarkMeas593")</f>
        <v>TheWMDPBenchmarkMeas593</v>
      </c>
      <c r="W594" s="1" t="s">
        <v>86</v>
      </c>
      <c r="X594" s="1">
        <v>2403.0321800000002</v>
      </c>
      <c r="AS594" s="1" t="s">
        <v>1538</v>
      </c>
      <c r="AX594" s="1" t="s">
        <v>2491</v>
      </c>
      <c r="AZ594" s="2" t="s">
        <v>2492</v>
      </c>
      <c r="BC594" s="1">
        <v>2024</v>
      </c>
    </row>
    <row r="595" spans="3:55" ht="13" x14ac:dyDescent="0.15">
      <c r="G595" s="1" t="s">
        <v>2493</v>
      </c>
      <c r="M595" s="1" t="s">
        <v>2494</v>
      </c>
      <c r="N595" s="1" t="str">
        <f ca="1">IFERROR(__xludf.DUMMYFUNCTION("CONCAT(LEFT(REGEXREPLACE(AX595, ""[^A-Za-z0-9]"", """"), 20), TEXT(ROW(AX595)-1, ""000""))"),"ThisLooksLikeThatDee594")</f>
        <v>ThisLooksLikeThatDee594</v>
      </c>
      <c r="W595" s="1" t="s">
        <v>64</v>
      </c>
      <c r="AL595" s="1" t="s">
        <v>2495</v>
      </c>
      <c r="AX595" s="1" t="s">
        <v>2496</v>
      </c>
      <c r="BC595" s="1">
        <v>2019</v>
      </c>
    </row>
    <row r="596" spans="3:55" ht="13" x14ac:dyDescent="0.15">
      <c r="G596" s="1" t="s">
        <v>2497</v>
      </c>
      <c r="N596" s="1" t="str">
        <f ca="1">IFERROR(__xludf.DUMMYFUNCTION("CONCAT(LEFT(REGEXREPLACE(AX596, ""[^A-Za-z0-9]"", """"), 20), TEXT(ROW(AX596)-1, ""000""))"),"ThreeNaiveBayesAppro595")</f>
        <v>ThreeNaiveBayesAppro595</v>
      </c>
      <c r="W596" s="1" t="s">
        <v>57</v>
      </c>
      <c r="AF596" s="1" t="s">
        <v>2498</v>
      </c>
      <c r="AL596" s="1" t="s">
        <v>2499</v>
      </c>
      <c r="AM596" s="1">
        <v>2</v>
      </c>
      <c r="AP596" s="1" t="s">
        <v>2500</v>
      </c>
      <c r="AT596" s="1" t="s">
        <v>193</v>
      </c>
      <c r="AX596" s="1" t="s">
        <v>2501</v>
      </c>
      <c r="BB596" s="1">
        <v>21</v>
      </c>
      <c r="BC596" s="1">
        <v>2010</v>
      </c>
    </row>
    <row r="597" spans="3:55" ht="13" x14ac:dyDescent="0.15">
      <c r="C597" s="1" t="s">
        <v>511</v>
      </c>
      <c r="F597" s="1">
        <v>214</v>
      </c>
      <c r="G597" s="1" t="s">
        <v>2502</v>
      </c>
      <c r="N597" s="1" t="str">
        <f ca="1">IFERROR(__xludf.DUMMYFUNCTION("CONCAT(LEFT(REGEXREPLACE(AX597, ""[^A-Za-z0-9]"", """"), 20), TEXT(ROW(AX597)-1, ""000""))"),"TinkerTailorConfigur596")</f>
        <v>TinkerTailorConfigur596</v>
      </c>
      <c r="T597" s="1" t="s">
        <v>2503</v>
      </c>
      <c r="W597" s="1" t="s">
        <v>57</v>
      </c>
      <c r="AE597" s="5">
        <v>45383</v>
      </c>
      <c r="AF597" s="1" t="s">
        <v>607</v>
      </c>
      <c r="AG597" s="1" t="s">
        <v>2504</v>
      </c>
      <c r="AK597" s="1" t="s">
        <v>89</v>
      </c>
      <c r="AM597" s="1" t="s">
        <v>2505</v>
      </c>
      <c r="AN597" s="1">
        <v>20</v>
      </c>
      <c r="AT597" s="1" t="s">
        <v>518</v>
      </c>
      <c r="AX597" s="1" t="s">
        <v>2506</v>
      </c>
      <c r="AZ597" s="2" t="s">
        <v>2507</v>
      </c>
      <c r="BB597" s="1">
        <v>8</v>
      </c>
      <c r="BC597" s="1">
        <v>2024</v>
      </c>
    </row>
    <row r="598" spans="3:55" ht="13" x14ac:dyDescent="0.15">
      <c r="E598" s="1" t="s">
        <v>91</v>
      </c>
      <c r="G598" s="1" t="s">
        <v>2508</v>
      </c>
      <c r="N598" s="1" t="str">
        <f ca="1">IFERROR(__xludf.DUMMYFUNCTION("CONCAT(LEFT(REGEXREPLACE(AX598, ""[^A-Za-z0-9]"", """"), 20), TEXT(ROW(AX598)-1, ""000""))"),"TowardanEvaluationSc597")</f>
        <v>TowardanEvaluationSc597</v>
      </c>
      <c r="W598" s="1" t="s">
        <v>86</v>
      </c>
      <c r="X598" s="1">
        <v>2503.0533599999999</v>
      </c>
      <c r="AS598" s="2" t="s">
        <v>486</v>
      </c>
      <c r="AX598" s="1" t="s">
        <v>2509</v>
      </c>
      <c r="AZ598" s="2" t="s">
        <v>2510</v>
      </c>
      <c r="BC598" s="1">
        <v>2025</v>
      </c>
    </row>
    <row r="599" spans="3:55" ht="13" x14ac:dyDescent="0.15">
      <c r="E599" s="1" t="s">
        <v>91</v>
      </c>
      <c r="G599" s="1" t="s">
        <v>2511</v>
      </c>
      <c r="N599" s="1" t="str">
        <f ca="1">IFERROR(__xludf.DUMMYFUNCTION("CONCAT(LEFT(REGEXREPLACE(AX599, ""[^A-Za-z0-9]"", """"), 20), TEXT(ROW(AX599)-1, ""000""))"),"Towardbestresearchpr598")</f>
        <v>Towardbestresearchpr598</v>
      </c>
      <c r="W599" s="1" t="s">
        <v>86</v>
      </c>
      <c r="X599" s="1">
        <v>2312.0127600000001</v>
      </c>
      <c r="AS599" s="2" t="s">
        <v>486</v>
      </c>
      <c r="AX599" s="1" t="s">
        <v>2512</v>
      </c>
      <c r="AZ599" s="2" t="s">
        <v>2513</v>
      </c>
      <c r="BC599" s="1">
        <v>2024</v>
      </c>
    </row>
    <row r="600" spans="3:55" ht="13" x14ac:dyDescent="0.15">
      <c r="E600" s="1" t="s">
        <v>91</v>
      </c>
      <c r="G600" s="1" t="s">
        <v>2514</v>
      </c>
      <c r="N600" s="1" t="str">
        <f ca="1">IFERROR(__xludf.DUMMYFUNCTION("CONCAT(LEFT(REGEXREPLACE(AX600, ""[^A-Za-z0-9]"", """"), 20), TEXT(ROW(AX600)-1, ""000""))"),"TowardTrustworthyAID599")</f>
        <v>TowardTrustworthyAID599</v>
      </c>
      <c r="W600" s="1" t="s">
        <v>86</v>
      </c>
      <c r="X600" s="1">
        <v>2004.07213</v>
      </c>
      <c r="AS600" s="2" t="s">
        <v>152</v>
      </c>
      <c r="AX600" s="1" t="s">
        <v>2515</v>
      </c>
      <c r="AZ600" s="2" t="s">
        <v>2516</v>
      </c>
      <c r="BC600" s="1">
        <v>2020</v>
      </c>
    </row>
    <row r="601" spans="3:55" ht="13" x14ac:dyDescent="0.15">
      <c r="G601" s="1" t="s">
        <v>2517</v>
      </c>
      <c r="N601" s="1" t="str">
        <f ca="1">IFERROR(__xludf.DUMMYFUNCTION("CONCAT(LEFT(REGEXREPLACE(AX601, ""[^A-Za-z0-9]"", """"), 20), TEXT(ROW(AX601)-1, ""000""))"),"TowardsaCommonReport600")</f>
        <v>TowardsaCommonReport600</v>
      </c>
      <c r="W601" s="1" t="s">
        <v>86</v>
      </c>
      <c r="AA601" s="1" t="s">
        <v>2517</v>
      </c>
      <c r="AK601" s="1" t="s">
        <v>2031</v>
      </c>
      <c r="AX601" s="1" t="s">
        <v>2518</v>
      </c>
      <c r="AZ601" s="2" t="s">
        <v>2519</v>
      </c>
      <c r="BC601" s="1">
        <v>2025</v>
      </c>
    </row>
    <row r="602" spans="3:55" ht="13" x14ac:dyDescent="0.15">
      <c r="G602" s="1" t="s">
        <v>2520</v>
      </c>
      <c r="N602" s="1" t="str">
        <f ca="1">IFERROR(__xludf.DUMMYFUNCTION("CONCAT(LEFT(REGEXREPLACE(AX602, ""[^A-Za-z0-9]"", """"), 20), TEXT(ROW(AX602)-1, ""000""))"),"TowardsaRigorousScie601")</f>
        <v>TowardsaRigorousScie601</v>
      </c>
      <c r="W602" s="1" t="s">
        <v>57</v>
      </c>
      <c r="AF602" s="1" t="s">
        <v>2521</v>
      </c>
      <c r="AX602" s="1" t="s">
        <v>2522</v>
      </c>
      <c r="AZ602" s="2" t="s">
        <v>2523</v>
      </c>
      <c r="BC602" s="1">
        <v>2017</v>
      </c>
    </row>
    <row r="603" spans="3:55" ht="13" x14ac:dyDescent="0.15">
      <c r="G603" s="1" t="s">
        <v>2524</v>
      </c>
      <c r="N603" s="1" t="str">
        <f ca="1">IFERROR(__xludf.DUMMYFUNCTION("CONCAT(LEFT(REGEXREPLACE(AX603, ""[^A-Za-z0-9]"", """"), 20), TEXT(ROW(AX603)-1, ""000""))"),"TowardsaStandardforI602")</f>
        <v>TowardsaStandardforI602</v>
      </c>
      <c r="T603" s="2" t="s">
        <v>2525</v>
      </c>
      <c r="W603" s="1" t="s">
        <v>57</v>
      </c>
      <c r="AF603" s="1" t="s">
        <v>2526</v>
      </c>
      <c r="AP603" s="1" t="s">
        <v>2527</v>
      </c>
      <c r="AX603" s="1" t="s">
        <v>2528</v>
      </c>
      <c r="BB603" s="1">
        <v>1270</v>
      </c>
      <c r="BC603" s="1">
        <v>2022</v>
      </c>
    </row>
    <row r="604" spans="3:55" ht="13" x14ac:dyDescent="0.15">
      <c r="G604" s="1" t="s">
        <v>2529</v>
      </c>
      <c r="N604" s="1" t="str">
        <f ca="1">IFERROR(__xludf.DUMMYFUNCTION("CONCAT(LEFT(REGEXREPLACE(AX604, ""[^A-Za-z0-9]"", """"), 20), TEXT(ROW(AX604)-1, ""000""))"),"Towardsautomatedcirc603")</f>
        <v>Towardsautomatedcirc603</v>
      </c>
      <c r="W604" s="1" t="s">
        <v>57</v>
      </c>
      <c r="AF604" s="1" t="s">
        <v>447</v>
      </c>
      <c r="AP604" s="1" t="s">
        <v>2530</v>
      </c>
      <c r="AX604" s="1" t="s">
        <v>2531</v>
      </c>
      <c r="AZ604" t="s">
        <v>2736</v>
      </c>
      <c r="BB604" s="1">
        <v>36</v>
      </c>
      <c r="BC604" s="1">
        <v>2023</v>
      </c>
    </row>
    <row r="605" spans="3:55" ht="13" x14ac:dyDescent="0.15">
      <c r="G605" s="1" t="s">
        <v>2532</v>
      </c>
      <c r="M605" s="1" t="s">
        <v>2533</v>
      </c>
      <c r="N605" s="1" t="str">
        <f ca="1">IFERROR(__xludf.DUMMYFUNCTION("CONCAT(LEFT(REGEXREPLACE(AX605, ""[^A-Za-z0-9]"", """"), 20), TEXT(ROW(AX605)-1, ""000""))"),"TowardsBetterUnderst604")</f>
        <v>TowardsBetterUnderst604</v>
      </c>
      <c r="W605" s="1" t="s">
        <v>64</v>
      </c>
      <c r="AL605" s="1" t="s">
        <v>2534</v>
      </c>
      <c r="AX605" s="1" t="s">
        <v>2535</v>
      </c>
      <c r="BC605" s="1">
        <v>2018</v>
      </c>
    </row>
    <row r="606" spans="3:55" ht="13" x14ac:dyDescent="0.15">
      <c r="G606" s="1" t="s">
        <v>2536</v>
      </c>
      <c r="M606" s="1" t="s">
        <v>2537</v>
      </c>
      <c r="N606" s="1" t="str">
        <f ca="1">IFERROR(__xludf.DUMMYFUNCTION("CONCAT(LEFT(REGEXREPLACE(AX606, ""[^A-Za-z0-9]"", """"), 20), TEXT(ROW(AX606)-1, ""000""))"),"Towardscomputational605")</f>
        <v>Towardscomputational605</v>
      </c>
      <c r="W606" s="1" t="s">
        <v>64</v>
      </c>
      <c r="AO606" s="1" t="s">
        <v>193</v>
      </c>
      <c r="AP606" s="1" t="s">
        <v>2538</v>
      </c>
      <c r="AX606" s="1" t="s">
        <v>2539</v>
      </c>
      <c r="AZ606" t="s">
        <v>2813</v>
      </c>
      <c r="BC606" s="1">
        <v>2019</v>
      </c>
    </row>
    <row r="607" spans="3:55" ht="13" x14ac:dyDescent="0.15">
      <c r="E607" s="1" t="s">
        <v>91</v>
      </c>
      <c r="G607" s="1" t="s">
        <v>2540</v>
      </c>
      <c r="N607" s="1" t="str">
        <f ca="1">IFERROR(__xludf.DUMMYFUNCTION("CONCAT(LEFT(REGEXREPLACE(AX607, ""[^A-Za-z0-9]"", """"), 20), TEXT(ROW(AX607)-1, ""000""))"),"TrainingaHelpfulandH606")</f>
        <v>TrainingaHelpfulandH606</v>
      </c>
      <c r="W607" s="1" t="s">
        <v>86</v>
      </c>
      <c r="X607" s="1">
        <v>2204.0586199999998</v>
      </c>
      <c r="AS607" s="2" t="s">
        <v>375</v>
      </c>
      <c r="AX607" s="1" t="s">
        <v>2541</v>
      </c>
      <c r="AZ607" s="2" t="s">
        <v>2542</v>
      </c>
      <c r="BC607" s="1">
        <v>2022</v>
      </c>
    </row>
    <row r="608" spans="3:55" ht="13" x14ac:dyDescent="0.15">
      <c r="E608" s="1" t="s">
        <v>91</v>
      </c>
      <c r="G608" s="1" t="s">
        <v>2543</v>
      </c>
      <c r="N608" s="1" t="str">
        <f ca="1">IFERROR(__xludf.DUMMYFUNCTION("CONCAT(LEFT(REGEXREPLACE(AX608, ""[^A-Za-z0-9]"", """"), 20), TEXT(ROW(AX608)-1, ""000""))"),"TreeofAttacksJailbre607")</f>
        <v>TreeofAttacksJailbre607</v>
      </c>
      <c r="W608" s="1" t="s">
        <v>86</v>
      </c>
      <c r="X608" s="1">
        <v>2312.0211899999999</v>
      </c>
      <c r="AS608" s="1" t="s">
        <v>1538</v>
      </c>
      <c r="AX608" s="1" t="s">
        <v>2544</v>
      </c>
      <c r="AZ608" s="2" t="s">
        <v>2545</v>
      </c>
      <c r="BC608" s="1">
        <v>2024</v>
      </c>
    </row>
    <row r="609" spans="7:55" ht="13" x14ac:dyDescent="0.15">
      <c r="G609" s="1" t="s">
        <v>2546</v>
      </c>
      <c r="N609" s="1" t="str">
        <f ca="1">IFERROR(__xludf.DUMMYFUNCTION("CONCAT(LEFT(REGEXREPLACE(AX609, ""[^A-Za-z0-9]"", """"), 20), TEXT(ROW(AX609)-1, ""000""))"),"TreeVisualizationwit608")</f>
        <v>TreeVisualizationwit608</v>
      </c>
      <c r="W609" s="1" t="s">
        <v>57</v>
      </c>
      <c r="AF609" s="1" t="s">
        <v>2547</v>
      </c>
      <c r="AM609" s="1">
        <v>1</v>
      </c>
      <c r="AP609" s="1" t="s">
        <v>2548</v>
      </c>
      <c r="AT609" s="1" t="s">
        <v>171</v>
      </c>
      <c r="AX609" s="1" t="s">
        <v>2549</v>
      </c>
      <c r="AZ609" s="2" t="s">
        <v>2550</v>
      </c>
      <c r="BB609" s="1">
        <v>11</v>
      </c>
      <c r="BC609" s="1">
        <v>1992</v>
      </c>
    </row>
    <row r="610" spans="7:55" ht="13" x14ac:dyDescent="0.15">
      <c r="G610" s="1" t="s">
        <v>2551</v>
      </c>
      <c r="N610" s="1" t="str">
        <f ca="1">IFERROR(__xludf.DUMMYFUNCTION("CONCAT(LEFT(REGEXREPLACE(AX610, ""[^A-Za-z0-9]"", """"), 20), TEXT(ROW(AX610)-1, ""000""))"),"Trustattitudesanduse609")</f>
        <v>Trustattitudesanduse609</v>
      </c>
      <c r="T610" s="1" t="s">
        <v>2552</v>
      </c>
      <c r="W610" s="1" t="s">
        <v>2553</v>
      </c>
      <c r="AA610" s="1" t="s">
        <v>2554</v>
      </c>
      <c r="AU610" s="1" t="s">
        <v>2555</v>
      </c>
      <c r="AX610" s="1" t="s">
        <v>2556</v>
      </c>
      <c r="AZ610" s="2" t="s">
        <v>2557</v>
      </c>
      <c r="BC610" s="1">
        <v>2025</v>
      </c>
    </row>
    <row r="611" spans="7:55" ht="13" x14ac:dyDescent="0.15">
      <c r="G611" s="2" t="s">
        <v>2558</v>
      </c>
      <c r="N611" s="1" t="str">
        <f ca="1">IFERROR(__xludf.DUMMYFUNCTION("CONCAT(LEFT(REGEXREPLACE(AX611, ""[^A-Za-z0-9]"", """"), 20), TEXT(ROW(AX611)-1, ""000""))"),"TrustedAIBlogSeries610")</f>
        <v>TrustedAIBlogSeries610</v>
      </c>
      <c r="W611" s="1" t="s">
        <v>86</v>
      </c>
      <c r="AT611" s="1" t="s">
        <v>2559</v>
      </c>
      <c r="AX611" s="1" t="s">
        <v>2560</v>
      </c>
      <c r="AZ611" s="2" t="s">
        <v>2561</v>
      </c>
      <c r="BC611" s="1" t="s">
        <v>2562</v>
      </c>
    </row>
    <row r="612" spans="7:55" ht="13" x14ac:dyDescent="0.15">
      <c r="G612" s="1" t="s">
        <v>932</v>
      </c>
      <c r="N612" s="1" t="str">
        <f ca="1">IFERROR(__xludf.DUMMYFUNCTION("CONCAT(LEFT(REGEXREPLACE(AX612, ""[^A-Za-z0-9]"", """"), 20), TEXT(ROW(AX612)-1, ""000""))"),"TrustworthinessVocab611")</f>
        <v>TrustworthinessVocab611</v>
      </c>
      <c r="W612" s="1" t="s">
        <v>86</v>
      </c>
      <c r="AF612" s="1" t="s">
        <v>2563</v>
      </c>
      <c r="AX612" s="1" t="s">
        <v>2564</v>
      </c>
      <c r="AZ612" s="2" t="s">
        <v>2565</v>
      </c>
      <c r="BC612" s="1">
        <v>2022</v>
      </c>
    </row>
    <row r="613" spans="7:55" ht="13" x14ac:dyDescent="0.15">
      <c r="G613" s="1" t="s">
        <v>2566</v>
      </c>
      <c r="M613" s="1" t="s">
        <v>1965</v>
      </c>
      <c r="N613" s="1" t="str">
        <f ca="1">IFERROR(__xludf.DUMMYFUNCTION("CONCAT(LEFT(REGEXREPLACE(AX613, ""[^A-Za-z0-9]"", """"), 20), TEXT(ROW(AX613)-1, ""000""))"),"TruthfulQAMeasuringH612")</f>
        <v>TruthfulQAMeasuringH612</v>
      </c>
      <c r="W613" s="1" t="s">
        <v>64</v>
      </c>
      <c r="AP613" s="1" t="s">
        <v>2567</v>
      </c>
      <c r="AX613" s="1" t="s">
        <v>2568</v>
      </c>
      <c r="AZ613" s="2" t="s">
        <v>2569</v>
      </c>
      <c r="BC613" s="1">
        <v>2022</v>
      </c>
    </row>
    <row r="614" spans="7:55" ht="13" x14ac:dyDescent="0.15">
      <c r="G614" s="1" t="s">
        <v>2570</v>
      </c>
      <c r="N614" s="1" t="str">
        <f ca="1">IFERROR(__xludf.DUMMYFUNCTION("CONCAT(LEFT(REGEXREPLACE(AX614, ""[^A-Za-z0-9]"", """"), 20), TEXT(ROW(AX614)-1, ""000""))"),"Tutorial21FairnessDe613")</f>
        <v>Tutorial21FairnessDe613</v>
      </c>
      <c r="W614" s="1" t="s">
        <v>86</v>
      </c>
      <c r="Z614" s="1" t="s">
        <v>2571</v>
      </c>
      <c r="AX614" s="1" t="s">
        <v>2572</v>
      </c>
      <c r="AZ614" s="2" t="s">
        <v>2573</v>
      </c>
      <c r="BA614" s="3">
        <v>45910</v>
      </c>
      <c r="BC614" s="1">
        <v>2018</v>
      </c>
    </row>
    <row r="615" spans="7:55" ht="13" x14ac:dyDescent="0.15">
      <c r="G615" s="1" t="s">
        <v>2574</v>
      </c>
      <c r="M615" s="1" t="s">
        <v>2575</v>
      </c>
      <c r="N615" s="1" t="str">
        <f ca="1">IFERROR(__xludf.DUMMYFUNCTION("CONCAT(LEFT(REGEXREPLACE(AX615, ""[^A-Za-z0-9]"", """"), 20), TEXT(ROW(AX615)-1, ""000""))"),"TwoContrastingDataAn614")</f>
        <v>TwoContrastingDataAn614</v>
      </c>
      <c r="W615" s="1" t="s">
        <v>64</v>
      </c>
      <c r="AP615" s="1" t="s">
        <v>2576</v>
      </c>
      <c r="AX615" s="1" t="s">
        <v>2577</v>
      </c>
      <c r="AZ615" t="s">
        <v>2737</v>
      </c>
      <c r="BC615" s="1">
        <v>2022</v>
      </c>
    </row>
    <row r="616" spans="7:55" ht="13" x14ac:dyDescent="0.15">
      <c r="G616" s="1" t="s">
        <v>2578</v>
      </c>
      <c r="N616" s="1" t="str">
        <f ca="1">IFERROR(__xludf.DUMMYFUNCTION("CONCAT(LEFT(REGEXREPLACE(AX616, ""[^A-Za-z0-9]"", """"), 20), TEXT(ROW(AX616)-1, ""000""))"),"USWorkersAreMoreWorr615")</f>
        <v>USWorkersAreMoreWorr615</v>
      </c>
      <c r="W616" s="1" t="s">
        <v>86</v>
      </c>
      <c r="AF616" s="1" t="s">
        <v>1380</v>
      </c>
      <c r="AH616" s="1" t="s">
        <v>1381</v>
      </c>
      <c r="AK616" s="1" t="s">
        <v>2031</v>
      </c>
      <c r="AX616" s="1" t="s">
        <v>2579</v>
      </c>
      <c r="AZ616" s="2" t="s">
        <v>2580</v>
      </c>
      <c r="BC616" s="1">
        <v>2025</v>
      </c>
    </row>
    <row r="617" spans="7:55" ht="13" x14ac:dyDescent="0.15">
      <c r="G617" s="1" t="s">
        <v>2581</v>
      </c>
      <c r="N617" s="1" t="str">
        <f ca="1">IFERROR(__xludf.DUMMYFUNCTION("CONCAT(LEFT(REGEXREPLACE(AX617, ""[^A-Za-z0-9]"", """"), 20), TEXT(ROW(AX617)-1, ""000""))"),"UCIMachineLearningRe616")</f>
        <v>UCIMachineLearningRe616</v>
      </c>
      <c r="W617" s="1" t="s">
        <v>86</v>
      </c>
      <c r="AA617" s="1" t="s">
        <v>2582</v>
      </c>
      <c r="AX617" s="1" t="s">
        <v>2583</v>
      </c>
      <c r="AZ617" s="2" t="s">
        <v>2584</v>
      </c>
      <c r="BC617" s="1">
        <v>2013</v>
      </c>
    </row>
    <row r="618" spans="7:55" ht="13" x14ac:dyDescent="0.15">
      <c r="G618" s="1" t="s">
        <v>2585</v>
      </c>
      <c r="N618" s="1" t="str">
        <f ca="1">IFERROR(__xludf.DUMMYFUNCTION("CONCAT(LEFT(REGEXREPLACE(AX618, ""[^A-Za-z0-9]"", """"), 20), TEXT(ROW(AX618)-1, ""000""))"),"UndergraduateIntrodu617")</f>
        <v>UndergraduateIntrodu617</v>
      </c>
      <c r="W618" s="1" t="s">
        <v>57</v>
      </c>
      <c r="AF618" s="1" t="s">
        <v>2586</v>
      </c>
      <c r="AL618" s="1" t="s">
        <v>2587</v>
      </c>
      <c r="AM618" s="1">
        <v>1</v>
      </c>
      <c r="AP618" s="1">
        <v>128</v>
      </c>
      <c r="AT618" s="1" t="s">
        <v>1527</v>
      </c>
      <c r="AX618" s="1" t="s">
        <v>2588</v>
      </c>
      <c r="BB618" s="1">
        <v>84</v>
      </c>
      <c r="BC618" s="1">
        <v>2007</v>
      </c>
    </row>
    <row r="619" spans="7:55" ht="13" x14ac:dyDescent="0.15">
      <c r="G619" s="1" t="s">
        <v>2589</v>
      </c>
      <c r="N619" s="1" t="str">
        <f ca="1">IFERROR(__xludf.DUMMYFUNCTION("CONCAT(LEFT(REGEXREPLACE(AX619, ""[^A-Za-z0-9]"", """"), 20), TEXT(ROW(AX619)-1, ""000""))"),"Underspecificationpr618")</f>
        <v>Underspecificationpr618</v>
      </c>
      <c r="T619" s="1" t="s">
        <v>2590</v>
      </c>
      <c r="W619" s="1" t="s">
        <v>57</v>
      </c>
      <c r="AF619" s="1" t="s">
        <v>310</v>
      </c>
      <c r="AM619" s="1">
        <v>226</v>
      </c>
      <c r="AP619" s="1" t="s">
        <v>2591</v>
      </c>
      <c r="AX619" s="1" t="s">
        <v>2592</v>
      </c>
      <c r="AZ619" s="2" t="s">
        <v>2593</v>
      </c>
      <c r="BB619" s="1">
        <v>23</v>
      </c>
      <c r="BC619" s="1">
        <v>2022</v>
      </c>
    </row>
    <row r="620" spans="7:55" ht="13" x14ac:dyDescent="0.15">
      <c r="G620" s="1" t="s">
        <v>2594</v>
      </c>
      <c r="M620" s="1" t="s">
        <v>2595</v>
      </c>
      <c r="N620" s="1" t="str">
        <f ca="1">IFERROR(__xludf.DUMMYFUNCTION("CONCAT(LEFT(REGEXREPLACE(AX620, ""[^A-Za-z0-9]"", """"), 20), TEXT(ROW(AX620)-1, ""000""))"),"Unifiedmodelof1Dpuls619")</f>
        <v>Unifiedmodelof1Dpuls619</v>
      </c>
      <c r="T620" s="1" t="s">
        <v>2596</v>
      </c>
      <c r="W620" s="1" t="s">
        <v>64</v>
      </c>
      <c r="AG620" s="1" t="s">
        <v>2597</v>
      </c>
      <c r="AK620" s="1" t="s">
        <v>2598</v>
      </c>
      <c r="AP620" s="9">
        <v>46030</v>
      </c>
      <c r="AT620" s="1" t="s">
        <v>2599</v>
      </c>
      <c r="AX620" s="1" t="s">
        <v>2600</v>
      </c>
      <c r="BC620" s="1">
        <v>2016</v>
      </c>
    </row>
    <row r="621" spans="7:55" ht="13" x14ac:dyDescent="0.15">
      <c r="G621" s="1" t="s">
        <v>2601</v>
      </c>
      <c r="N621" s="1" t="str">
        <f ca="1">IFERROR(__xludf.DUMMYFUNCTION("CONCAT(LEFT(REGEXREPLACE(AX621, ""[^A-Za-z0-9]"", """"), 20), TEXT(ROW(AX621)-1, ""000""))"),"UsingH2ODriverlessAI620")</f>
        <v>UsingH2ODriverlessAI620</v>
      </c>
      <c r="W621" s="1" t="s">
        <v>86</v>
      </c>
      <c r="AL621" s="1" t="s">
        <v>2602</v>
      </c>
      <c r="AT621" s="1" t="s">
        <v>1658</v>
      </c>
      <c r="AX621" s="1" t="s">
        <v>2603</v>
      </c>
      <c r="BC621" s="1">
        <v>2017</v>
      </c>
    </row>
    <row r="622" spans="7:55" ht="13" x14ac:dyDescent="0.15">
      <c r="G622" s="1" t="s">
        <v>236</v>
      </c>
      <c r="N622" s="1" t="str">
        <f ca="1">IFERROR(__xludf.DUMMYFUNCTION("CONCAT(LEFT(REGEXREPLACE(AX622, ""[^A-Za-z0-9]"", """"), 20), TEXT(ROW(AX622)-1, ""000""))"),"Usingpubliclyavailab621")</f>
        <v>Usingpubliclyavailab621</v>
      </c>
      <c r="W622" s="1" t="s">
        <v>86</v>
      </c>
      <c r="AA622" s="1" t="s">
        <v>236</v>
      </c>
      <c r="AX622" s="1" t="s">
        <v>2604</v>
      </c>
      <c r="AZ622" s="2" t="s">
        <v>2605</v>
      </c>
      <c r="BC622" s="1">
        <v>2014</v>
      </c>
    </row>
    <row r="623" spans="7:55" ht="13" x14ac:dyDescent="0.15">
      <c r="G623" s="1" t="s">
        <v>2606</v>
      </c>
      <c r="M623" s="1" t="s">
        <v>2607</v>
      </c>
      <c r="N623" s="1" t="str">
        <f ca="1">IFERROR(__xludf.DUMMYFUNCTION("CONCAT(LEFT(REGEXREPLACE(AX623, ""[^A-Za-z0-9]"", """"), 20), TEXT(ROW(AX623)-1, ""000""))"),"VADERAParsimoniousRu622")</f>
        <v>VADERAParsimoniousRu622</v>
      </c>
      <c r="W623" s="1" t="s">
        <v>64</v>
      </c>
      <c r="AM623" s="1">
        <v>1</v>
      </c>
      <c r="AP623" s="1" t="s">
        <v>2608</v>
      </c>
      <c r="AX623" s="1" t="s">
        <v>2609</v>
      </c>
      <c r="AZ623" s="2" t="s">
        <v>2610</v>
      </c>
      <c r="BB623" s="1">
        <v>8</v>
      </c>
      <c r="BC623" s="1">
        <v>2014</v>
      </c>
    </row>
    <row r="624" spans="7:55" ht="13" x14ac:dyDescent="0.15">
      <c r="G624" s="1" t="s">
        <v>2611</v>
      </c>
      <c r="N624" s="1" t="str">
        <f ca="1">IFERROR(__xludf.DUMMYFUNCTION("CONCAT(LEFT(REGEXREPLACE(AX624, ""[^A-Za-z0-9]"", """"), 20), TEXT(ROW(AX624)-1, ""000""))"),"Validity623")</f>
        <v>Validity623</v>
      </c>
      <c r="W624" s="1" t="s">
        <v>57</v>
      </c>
      <c r="AF624" s="1" t="s">
        <v>2612</v>
      </c>
      <c r="AM624" s="1">
        <v>2</v>
      </c>
      <c r="AP624" s="1" t="s">
        <v>2613</v>
      </c>
      <c r="AT624" s="1" t="s">
        <v>345</v>
      </c>
      <c r="AX624" s="1" t="s">
        <v>2614</v>
      </c>
      <c r="AZ624" t="s">
        <v>2814</v>
      </c>
      <c r="BB624" s="1">
        <v>1987</v>
      </c>
      <c r="BC624" s="1">
        <v>1987</v>
      </c>
    </row>
    <row r="625" spans="1:55" ht="13" x14ac:dyDescent="0.15">
      <c r="G625" s="1" t="s">
        <v>2615</v>
      </c>
      <c r="N625" s="1" t="str">
        <f ca="1">IFERROR(__xludf.DUMMYFUNCTION("CONCAT(LEFT(REGEXREPLACE(AX625, ""[^A-Za-z0-9]"", """"), 20), TEXT(ROW(AX625)-1, ""000""))"),"ValueSensitiveDesign624")</f>
        <v>ValueSensitiveDesign624</v>
      </c>
      <c r="W625" s="1" t="s">
        <v>57</v>
      </c>
      <c r="AF625" s="1" t="s">
        <v>2616</v>
      </c>
      <c r="AX625" s="1" t="s">
        <v>2617</v>
      </c>
      <c r="AZ625" t="s">
        <v>2815</v>
      </c>
      <c r="BC625" s="1">
        <v>2003</v>
      </c>
    </row>
    <row r="626" spans="1:55" ht="13" x14ac:dyDescent="0.15">
      <c r="G626" s="1" t="s">
        <v>2618</v>
      </c>
      <c r="N626" s="1" t="str">
        <f ca="1">IFERROR(__xludf.DUMMYFUNCTION("CONCAT(LEFT(REGEXREPLACE(AX626, ""[^A-Za-z0-9]"", """"), 20), TEXT(ROW(AX626)-1, ""000""))"),"VariableGeneralizati625")</f>
        <v>VariableGeneralizati625</v>
      </c>
      <c r="W626" s="1" t="s">
        <v>57</v>
      </c>
      <c r="AF626" s="1" t="s">
        <v>2619</v>
      </c>
      <c r="AM626" s="1">
        <v>11</v>
      </c>
      <c r="AP626" s="1" t="s">
        <v>2620</v>
      </c>
      <c r="AT626" s="1" t="s">
        <v>2621</v>
      </c>
      <c r="AX626" s="1" t="s">
        <v>2622</v>
      </c>
      <c r="AZ626" s="2" t="s">
        <v>2623</v>
      </c>
      <c r="BB626" s="1">
        <v>15</v>
      </c>
      <c r="BC626" s="1">
        <v>2018</v>
      </c>
    </row>
    <row r="627" spans="1:55" ht="13" x14ac:dyDescent="0.15">
      <c r="G627" s="1" t="s">
        <v>2624</v>
      </c>
      <c r="M627" s="1" t="s">
        <v>447</v>
      </c>
      <c r="N627" s="1" t="str">
        <f ca="1">IFERROR(__xludf.DUMMYFUNCTION("CONCAT(LEFT(REGEXREPLACE(AX627, ""[^A-Za-z0-9]"", """"), 20), TEXT(ROW(AX627)-1, ""000""))"),"VerifiableReinforcem626")</f>
        <v>VerifiableReinforcem626</v>
      </c>
      <c r="W627" s="1" t="s">
        <v>64</v>
      </c>
      <c r="AL627" s="1" t="s">
        <v>2625</v>
      </c>
      <c r="AP627" s="1" t="s">
        <v>2626</v>
      </c>
      <c r="AX627" s="1" t="s">
        <v>2627</v>
      </c>
      <c r="BC627" s="1">
        <v>2018</v>
      </c>
    </row>
    <row r="628" spans="1:55" ht="13" x14ac:dyDescent="0.15">
      <c r="G628" s="1" t="s">
        <v>2628</v>
      </c>
      <c r="N628" s="1" t="str">
        <f ca="1">IFERROR(__xludf.DUMMYFUNCTION("CONCAT(LEFT(REGEXREPLACE(AX628, ""[^A-Za-z0-9]"", """"), 20), TEXT(ROW(AX628)-1, ""000""))"),"VeryDeepConvolutiona627")</f>
        <v>VeryDeepConvolutiona627</v>
      </c>
      <c r="W628" s="1" t="s">
        <v>57</v>
      </c>
      <c r="AX628" s="1" t="s">
        <v>2629</v>
      </c>
      <c r="AZ628" s="12" t="s">
        <v>2630</v>
      </c>
      <c r="BC628" s="1">
        <v>2014</v>
      </c>
    </row>
    <row r="629" spans="1:55" ht="13" x14ac:dyDescent="0.15">
      <c r="G629" s="1" t="s">
        <v>2396</v>
      </c>
      <c r="N629" s="1" t="str">
        <f ca="1">IFERROR(__xludf.DUMMYFUNCTION("CONCAT(LEFT(REGEXREPLACE(AX629, ""[^A-Za-z0-9]"", """"), 20), TEXT(ROW(AX629)-1, ""000""))"),"VisualizingBigDataOu628")</f>
        <v>VisualizingBigDataOu628</v>
      </c>
      <c r="W629" s="1" t="s">
        <v>57</v>
      </c>
      <c r="AF629" s="1" t="s">
        <v>2631</v>
      </c>
      <c r="AL629" s="1" t="s">
        <v>2632</v>
      </c>
      <c r="AT629" s="1" t="s">
        <v>750</v>
      </c>
      <c r="AX629" s="1" t="s">
        <v>2633</v>
      </c>
      <c r="BC629" s="1">
        <v>2018</v>
      </c>
    </row>
    <row r="630" spans="1:55" ht="13" x14ac:dyDescent="0.15">
      <c r="G630" s="1" t="s">
        <v>2634</v>
      </c>
      <c r="N630" s="1" t="str">
        <f ca="1">IFERROR(__xludf.DUMMYFUNCTION("CONCAT(LEFT(REGEXREPLACE(AX630, ""[^A-Za-z0-9]"", """"), 20), TEXT(ROW(AX630)-1, ""000""))"),"VisualizingtheEffect629")</f>
        <v>VisualizingtheEffect629</v>
      </c>
      <c r="W630" s="1" t="s">
        <v>57</v>
      </c>
      <c r="AF630" s="1" t="s">
        <v>2635</v>
      </c>
      <c r="AL630" s="1" t="s">
        <v>2636</v>
      </c>
      <c r="AX630" s="1" t="s">
        <v>2637</v>
      </c>
      <c r="BC630" s="1">
        <v>2016</v>
      </c>
    </row>
    <row r="631" spans="1:55" ht="13" x14ac:dyDescent="0.15">
      <c r="G631" s="1" t="s">
        <v>2638</v>
      </c>
      <c r="N631" s="1" t="str">
        <f ca="1">IFERROR(__xludf.DUMMYFUNCTION("CONCAT(LEFT(REGEXREPLACE(AX631, ""[^A-Za-z0-9]"", """"), 20), TEXT(ROW(AX631)-1, ""000""))"),"WarningSignsPrivacya630")</f>
        <v>WarningSignsPrivacya630</v>
      </c>
      <c r="W631" s="1" t="s">
        <v>86</v>
      </c>
      <c r="AL631" s="1" t="s">
        <v>2639</v>
      </c>
      <c r="AT631" s="1" t="s">
        <v>2640</v>
      </c>
      <c r="AX631" s="1" t="s">
        <v>2641</v>
      </c>
      <c r="BC631" s="1">
        <v>2019</v>
      </c>
    </row>
    <row r="632" spans="1:55" ht="13" x14ac:dyDescent="0.15">
      <c r="G632" s="1" t="s">
        <v>2642</v>
      </c>
      <c r="N632" s="1" t="str">
        <f ca="1">IFERROR(__xludf.DUMMYFUNCTION("CONCAT(LEFT(REGEXREPLACE(AX632, ""[^A-Za-z0-9]"", """"), 20), TEXT(ROW(AX632)-1, ""000""))"),"WhattoDoWhenAIFails631")</f>
        <v>WhattoDoWhenAIFails631</v>
      </c>
      <c r="W632" s="1" t="s">
        <v>86</v>
      </c>
      <c r="AL632" s="1" t="s">
        <v>2643</v>
      </c>
      <c r="AT632" s="1" t="s">
        <v>2162</v>
      </c>
      <c r="AX632" s="1" t="s">
        <v>2644</v>
      </c>
      <c r="BC632" s="1">
        <v>2020</v>
      </c>
    </row>
    <row r="633" spans="1:55" ht="13" x14ac:dyDescent="0.15">
      <c r="G633" s="1" t="s">
        <v>2375</v>
      </c>
      <c r="N633" s="1" t="str">
        <f ca="1">IFERROR(__xludf.DUMMYFUNCTION("CONCAT(LEFT(REGEXREPLACE(AX633, ""[^A-Za-z0-9]"", """"), 20), TEXT(ROW(AX633)-1, ""000""))"),"WhatWeLearnedAuditin632")</f>
        <v>WhatWeLearnedAuditin632</v>
      </c>
      <c r="W633" s="1" t="s">
        <v>86</v>
      </c>
      <c r="AL633" s="1" t="s">
        <v>2645</v>
      </c>
      <c r="AT633" s="1" t="s">
        <v>2162</v>
      </c>
      <c r="AX633" s="1" t="s">
        <v>2646</v>
      </c>
      <c r="BC633" s="1">
        <v>2022</v>
      </c>
    </row>
    <row r="634" spans="1:55" ht="13" x14ac:dyDescent="0.15">
      <c r="G634" s="1" t="s">
        <v>2647</v>
      </c>
      <c r="M634" s="1" t="s">
        <v>2648</v>
      </c>
      <c r="N634" s="1" t="str">
        <f ca="1">IFERROR(__xludf.DUMMYFUNCTION("CONCAT(LEFT(REGEXREPLACE(AX634, ""[^A-Za-z0-9]"", """"), 20), TEXT(ROW(AX634)-1, ""000""))"),"WhentestingAItestsus633")</f>
        <v>WhentestingAItestsus633</v>
      </c>
      <c r="W634" s="1" t="s">
        <v>64</v>
      </c>
      <c r="AP634" s="1" t="s">
        <v>2649</v>
      </c>
      <c r="AX634" s="1" t="s">
        <v>2650</v>
      </c>
      <c r="AZ634" t="s">
        <v>2816</v>
      </c>
      <c r="BC634" s="1">
        <v>2025</v>
      </c>
    </row>
    <row r="635" spans="1:55" ht="13" x14ac:dyDescent="0.15">
      <c r="E635" s="1" t="s">
        <v>91</v>
      </c>
      <c r="G635" s="1" t="s">
        <v>2651</v>
      </c>
      <c r="N635" s="1" t="str">
        <f ca="1">IFERROR(__xludf.DUMMYFUNCTION("CONCAT(LEFT(REGEXREPLACE(AX635, ""[^A-Za-z0-9]"", """"), 20), TEXT(ROW(AX635)-1, ""000""))"),"WhichEconomicTasksar634")</f>
        <v>WhichEconomicTasksar634</v>
      </c>
      <c r="W635" s="1" t="s">
        <v>86</v>
      </c>
      <c r="X635" s="1">
        <v>2503.0476100000001</v>
      </c>
      <c r="AS635" s="2" t="s">
        <v>152</v>
      </c>
      <c r="AX635" s="1" t="s">
        <v>2652</v>
      </c>
      <c r="AZ635" s="2" t="s">
        <v>2653</v>
      </c>
      <c r="BC635" s="1">
        <v>2025</v>
      </c>
    </row>
    <row r="636" spans="1:55" ht="13" x14ac:dyDescent="0.15">
      <c r="G636" s="1" t="s">
        <v>2654</v>
      </c>
      <c r="N636" s="1" t="str">
        <f ca="1">IFERROR(__xludf.DUMMYFUNCTION("CONCAT(LEFT(REGEXREPLACE(AX636, ""[^A-Za-z0-9]"", """"), 20), TEXT(ROW(AX636)-1, ""000""))"),"WhichHumans635")</f>
        <v>WhichHumans635</v>
      </c>
      <c r="W636" s="1" t="s">
        <v>57</v>
      </c>
      <c r="AH636" s="1" t="s">
        <v>2655</v>
      </c>
      <c r="AX636" s="1" t="s">
        <v>2656</v>
      </c>
      <c r="AZ636" t="s">
        <v>2817</v>
      </c>
    </row>
    <row r="637" spans="1:55" ht="13" x14ac:dyDescent="0.15">
      <c r="A637" s="1" t="s">
        <v>2657</v>
      </c>
      <c r="C637" s="1" t="s">
        <v>2658</v>
      </c>
      <c r="G637" s="1" t="s">
        <v>2659</v>
      </c>
      <c r="H637" s="1" t="s">
        <v>2660</v>
      </c>
      <c r="I637" s="2" t="s">
        <v>2661</v>
      </c>
      <c r="J637" s="1" t="s">
        <v>2662</v>
      </c>
      <c r="K637" s="1" t="s">
        <v>2663</v>
      </c>
      <c r="N637" s="1" t="str">
        <f ca="1">IFERROR(__xludf.DUMMYFUNCTION("CONCAT(LEFT(REGEXREPLACE(AX637, ""[^A-Za-z0-9]"", """"), 20), TEXT(ROW(AX637)-1, ""000""))"),"WhitepaperProgrammin636")</f>
        <v>WhitepaperProgrammin636</v>
      </c>
      <c r="P637" s="1" t="s">
        <v>2664</v>
      </c>
      <c r="W637" s="1" t="s">
        <v>95</v>
      </c>
      <c r="Y637" s="1" t="s">
        <v>2665</v>
      </c>
      <c r="AA637" s="1" t="s">
        <v>2666</v>
      </c>
      <c r="AG637" s="1" t="s">
        <v>2667</v>
      </c>
      <c r="AK637" s="1" t="s">
        <v>631</v>
      </c>
      <c r="AM637" s="1" t="s">
        <v>2668</v>
      </c>
      <c r="AP637" s="1">
        <v>3</v>
      </c>
      <c r="AX637" s="1" t="s">
        <v>2669</v>
      </c>
      <c r="BC637" s="1">
        <v>2006</v>
      </c>
    </row>
    <row r="638" spans="1:55" ht="13" x14ac:dyDescent="0.15">
      <c r="G638" s="1" t="s">
        <v>2670</v>
      </c>
      <c r="M638" s="1" t="s">
        <v>2671</v>
      </c>
      <c r="N638" s="1" t="str">
        <f ca="1">IFERROR(__xludf.DUMMYFUNCTION("CONCAT(LEFT(REGEXREPLACE(AX638, ""[^A-Za-z0-9]"", """"), 20), TEXT(ROW(AX638)-1, ""000""))"),"WhyshouldItrustyouEx637")</f>
        <v>WhyshouldItrustyouEx637</v>
      </c>
      <c r="W638" s="1" t="s">
        <v>64</v>
      </c>
      <c r="AO638" s="1" t="s">
        <v>79</v>
      </c>
      <c r="AP638" s="1" t="s">
        <v>2672</v>
      </c>
      <c r="AX638" s="1" t="s">
        <v>2673</v>
      </c>
      <c r="AZ638" s="2" t="s">
        <v>2674</v>
      </c>
      <c r="BC638" s="1">
        <v>2016</v>
      </c>
    </row>
    <row r="639" spans="1:55" ht="13" x14ac:dyDescent="0.15">
      <c r="G639" s="1" t="s">
        <v>2675</v>
      </c>
      <c r="M639" s="1" t="s">
        <v>2184</v>
      </c>
      <c r="N639" s="1" t="str">
        <f ca="1">IFERROR(__xludf.DUMMYFUNCTION("CONCAT(LEFT(REGEXREPLACE(AX639, ""[^A-Za-z0-9]"", """"), 20), TEXT(ROW(AX639)-1, ""000""))"),"WhyweneedtoknowmoreE638")</f>
        <v>WhyweneedtoknowmoreE638</v>
      </c>
      <c r="W639" s="1" t="s">
        <v>64</v>
      </c>
      <c r="AP639" s="1" t="s">
        <v>2676</v>
      </c>
      <c r="AX639" s="1" t="s">
        <v>2677</v>
      </c>
      <c r="AZ639" t="s">
        <v>2818</v>
      </c>
      <c r="BC639" s="1">
        <v>2023</v>
      </c>
    </row>
    <row r="640" spans="1:55" ht="13" x14ac:dyDescent="0.15">
      <c r="G640" s="1" t="s">
        <v>2678</v>
      </c>
      <c r="N640" s="1" t="str">
        <f ca="1">IFERROR(__xludf.DUMMYFUNCTION("CONCAT(LEFT(REGEXREPLACE(AX640, ""[^A-Za-z0-9]"", """"), 20), TEXT(ROW(AX640)-1, ""000""))"),"WhyYouShouldCareAbou639")</f>
        <v>WhyYouShouldCareAbou639</v>
      </c>
      <c r="W640" s="1" t="s">
        <v>86</v>
      </c>
      <c r="AL640" s="1" t="s">
        <v>2679</v>
      </c>
      <c r="AT640" s="1" t="s">
        <v>2162</v>
      </c>
      <c r="AX640" s="1" t="s">
        <v>2680</v>
      </c>
      <c r="BC640" s="1">
        <v>2019</v>
      </c>
    </row>
    <row r="641" spans="1:55" ht="13" x14ac:dyDescent="0.15">
      <c r="A641" s="1" t="s">
        <v>2681</v>
      </c>
      <c r="G641" s="1" t="s">
        <v>2682</v>
      </c>
      <c r="N641" s="1" t="str">
        <f ca="1">IFERROR(__xludf.DUMMYFUNCTION("CONCAT(LEFT(REGEXREPLACE(AX641, ""[^A-Za-z0-9]"", """"), 20), TEXT(ROW(AX641)-1, ""000""))"),"Womensattitudesandpe640")</f>
        <v>Womensattitudesandpe640</v>
      </c>
      <c r="T641" s="1" t="s">
        <v>2683</v>
      </c>
      <c r="W641" s="1" t="s">
        <v>57</v>
      </c>
      <c r="Y641" s="1" t="s">
        <v>2684</v>
      </c>
      <c r="AC641" s="1" t="s">
        <v>2685</v>
      </c>
      <c r="AF641" s="1" t="s">
        <v>2686</v>
      </c>
      <c r="AG641" s="1" t="s">
        <v>2687</v>
      </c>
      <c r="AK641" s="1" t="s">
        <v>407</v>
      </c>
      <c r="AP641" s="1">
        <v>111431</v>
      </c>
      <c r="AX641" s="1" t="s">
        <v>2688</v>
      </c>
      <c r="AZ641" s="2" t="s">
        <v>2689</v>
      </c>
      <c r="BA641" s="3">
        <v>45478</v>
      </c>
      <c r="BB641" s="1">
        <v>175</v>
      </c>
      <c r="BC641" s="1">
        <v>2024</v>
      </c>
    </row>
    <row r="642" spans="1:55" ht="13" x14ac:dyDescent="0.15">
      <c r="G642" s="1" t="s">
        <v>2690</v>
      </c>
      <c r="M642" s="1" t="s">
        <v>2691</v>
      </c>
      <c r="N642" s="1" t="str">
        <f ca="1">IFERROR(__xludf.DUMMYFUNCTION("CONCAT(LEFT(REGEXREPLACE(AX642, ""[^A-Za-z0-9]"", """"), 20), TEXT(ROW(AX642)-1, ""000""))"),"XstestAtestsuitefori641")</f>
        <v>XstestAtestsuitefori641</v>
      </c>
      <c r="W642" s="1" t="s">
        <v>64</v>
      </c>
      <c r="AP642" s="1" t="s">
        <v>2692</v>
      </c>
      <c r="AX642" s="1" t="s">
        <v>2693</v>
      </c>
      <c r="AZ642" s="2" t="s">
        <v>2694</v>
      </c>
      <c r="BC642" s="1">
        <v>2024</v>
      </c>
    </row>
  </sheetData>
  <hyperlinks>
    <hyperlink ref="AZ2" r:id="rId1" xr:uid="{00000000-0004-0000-0000-000000000000}"/>
    <hyperlink ref="AZ4" r:id="rId2" xr:uid="{00000000-0004-0000-0000-000001000000}"/>
    <hyperlink ref="AZ7" r:id="rId3" xr:uid="{00000000-0004-0000-0000-000002000000}"/>
    <hyperlink ref="AZ8" r:id="rId4" xr:uid="{00000000-0004-0000-0000-000003000000}"/>
    <hyperlink ref="AZ12" r:id="rId5" xr:uid="{00000000-0004-0000-0000-000004000000}"/>
    <hyperlink ref="AZ14" r:id="rId6" xr:uid="{00000000-0004-0000-0000-000005000000}"/>
    <hyperlink ref="AS19" r:id="rId7" xr:uid="{00000000-0004-0000-0000-000006000000}"/>
    <hyperlink ref="AZ19" r:id="rId8" xr:uid="{00000000-0004-0000-0000-000007000000}"/>
    <hyperlink ref="AZ23" r:id="rId9" xr:uid="{00000000-0004-0000-0000-000008000000}"/>
    <hyperlink ref="AZ25" r:id="rId10" xr:uid="{00000000-0004-0000-0000-000009000000}"/>
    <hyperlink ref="AZ28" r:id="rId11" xr:uid="{00000000-0004-0000-0000-00000A000000}"/>
    <hyperlink ref="L31" r:id="rId12" xr:uid="{00000000-0004-0000-0000-00000B000000}"/>
    <hyperlink ref="AZ31" r:id="rId13" xr:uid="{00000000-0004-0000-0000-00000C000000}"/>
    <hyperlink ref="L34" r:id="rId14" xr:uid="{00000000-0004-0000-0000-00000D000000}"/>
    <hyperlink ref="AZ34" r:id="rId15" xr:uid="{00000000-0004-0000-0000-00000E000000}"/>
    <hyperlink ref="L36" r:id="rId16" xr:uid="{00000000-0004-0000-0000-00000F000000}"/>
    <hyperlink ref="AZ37" r:id="rId17" xr:uid="{00000000-0004-0000-0000-000010000000}"/>
    <hyperlink ref="AZ38" r:id="rId18" xr:uid="{00000000-0004-0000-0000-000011000000}"/>
    <hyperlink ref="AF40" r:id="rId19" xr:uid="{00000000-0004-0000-0000-000012000000}"/>
    <hyperlink ref="AZ41" r:id="rId20" xr:uid="{00000000-0004-0000-0000-000013000000}"/>
    <hyperlink ref="AZ42" r:id="rId21" xr:uid="{00000000-0004-0000-0000-000014000000}"/>
    <hyperlink ref="AZ43" r:id="rId22" xr:uid="{00000000-0004-0000-0000-000015000000}"/>
    <hyperlink ref="AZ44" r:id="rId23" xr:uid="{00000000-0004-0000-0000-000016000000}"/>
    <hyperlink ref="AZ46" r:id="rId24" xr:uid="{00000000-0004-0000-0000-000017000000}"/>
    <hyperlink ref="Z49" r:id="rId25" xr:uid="{00000000-0004-0000-0000-000018000000}"/>
    <hyperlink ref="AZ50" r:id="rId26" xr:uid="{00000000-0004-0000-0000-000019000000}"/>
    <hyperlink ref="AZ51" r:id="rId27" xr:uid="{00000000-0004-0000-0000-00001A000000}"/>
    <hyperlink ref="AZ53" r:id="rId28" xr:uid="{00000000-0004-0000-0000-00001B000000}"/>
    <hyperlink ref="AZ55" r:id="rId29" xr:uid="{00000000-0004-0000-0000-00001C000000}"/>
    <hyperlink ref="AZ58" r:id="rId30" xr:uid="{00000000-0004-0000-0000-00001D000000}"/>
    <hyperlink ref="AZ59" r:id="rId31" xr:uid="{00000000-0004-0000-0000-00001E000000}"/>
    <hyperlink ref="AZ64" r:id="rId32" xr:uid="{00000000-0004-0000-0000-00001F000000}"/>
    <hyperlink ref="AZ67" r:id="rId33" xr:uid="{00000000-0004-0000-0000-000020000000}"/>
    <hyperlink ref="AZ69" r:id="rId34" xr:uid="{00000000-0004-0000-0000-000021000000}"/>
    <hyperlink ref="AS70" r:id="rId35" xr:uid="{00000000-0004-0000-0000-000022000000}"/>
    <hyperlink ref="AZ70" r:id="rId36" xr:uid="{00000000-0004-0000-0000-000023000000}"/>
    <hyperlink ref="AZ71" r:id="rId37" xr:uid="{00000000-0004-0000-0000-000024000000}"/>
    <hyperlink ref="AZ72" r:id="rId38" xr:uid="{00000000-0004-0000-0000-000025000000}"/>
    <hyperlink ref="AZ74" r:id="rId39" xr:uid="{00000000-0004-0000-0000-000026000000}"/>
    <hyperlink ref="AZ75" r:id="rId40" xr:uid="{00000000-0004-0000-0000-000027000000}"/>
    <hyperlink ref="AZ76" r:id="rId41" xr:uid="{00000000-0004-0000-0000-000028000000}"/>
    <hyperlink ref="AZ78" r:id="rId42" xr:uid="{00000000-0004-0000-0000-000029000000}"/>
    <hyperlink ref="T79" r:id="rId43" xr:uid="{00000000-0004-0000-0000-00002A000000}"/>
    <hyperlink ref="AZ79" r:id="rId44" xr:uid="{00000000-0004-0000-0000-00002B000000}"/>
    <hyperlink ref="AZ80" r:id="rId45" xr:uid="{00000000-0004-0000-0000-00002C000000}"/>
    <hyperlink ref="AZ81" r:id="rId46" xr:uid="{00000000-0004-0000-0000-00002D000000}"/>
    <hyperlink ref="AZ82" r:id="rId47" xr:uid="{00000000-0004-0000-0000-00002E000000}"/>
    <hyperlink ref="L90" r:id="rId48" xr:uid="{00000000-0004-0000-0000-00002F000000}"/>
    <hyperlink ref="AZ90" r:id="rId49" xr:uid="{00000000-0004-0000-0000-000030000000}"/>
    <hyperlink ref="AZ92" r:id="rId50" xr:uid="{00000000-0004-0000-0000-000031000000}"/>
    <hyperlink ref="AZ94" r:id="rId51" xr:uid="{00000000-0004-0000-0000-000032000000}"/>
    <hyperlink ref="AS96" r:id="rId52" xr:uid="{00000000-0004-0000-0000-000033000000}"/>
    <hyperlink ref="AZ96" r:id="rId53" xr:uid="{00000000-0004-0000-0000-000034000000}"/>
    <hyperlink ref="AS97" r:id="rId54" xr:uid="{00000000-0004-0000-0000-000035000000}"/>
    <hyperlink ref="AZ97" r:id="rId55" xr:uid="{00000000-0004-0000-0000-000036000000}"/>
    <hyperlink ref="AS99" r:id="rId56" xr:uid="{00000000-0004-0000-0000-000037000000}"/>
    <hyperlink ref="AZ99" r:id="rId57" xr:uid="{00000000-0004-0000-0000-000038000000}"/>
    <hyperlink ref="AZ100" r:id="rId58" xr:uid="{00000000-0004-0000-0000-000039000000}"/>
    <hyperlink ref="AZ103" r:id="rId59" xr:uid="{00000000-0004-0000-0000-00003A000000}"/>
    <hyperlink ref="AZ104" r:id="rId60" xr:uid="{00000000-0004-0000-0000-00003B000000}"/>
    <hyperlink ref="L106" r:id="rId61" xr:uid="{00000000-0004-0000-0000-00003C000000}"/>
    <hyperlink ref="AZ106" r:id="rId62" xr:uid="{00000000-0004-0000-0000-00003D000000}"/>
    <hyperlink ref="AZ107" r:id="rId63" xr:uid="{00000000-0004-0000-0000-00003E000000}"/>
    <hyperlink ref="AZ108" r:id="rId64" xr:uid="{00000000-0004-0000-0000-00003F000000}"/>
    <hyperlink ref="AZ110" r:id="rId65" xr:uid="{00000000-0004-0000-0000-000040000000}"/>
    <hyperlink ref="AS111" r:id="rId66" xr:uid="{00000000-0004-0000-0000-000041000000}"/>
    <hyperlink ref="AZ111" r:id="rId67" xr:uid="{00000000-0004-0000-0000-000042000000}"/>
    <hyperlink ref="AS112" r:id="rId68" xr:uid="{00000000-0004-0000-0000-000043000000}"/>
    <hyperlink ref="AZ112" r:id="rId69" xr:uid="{00000000-0004-0000-0000-000044000000}"/>
    <hyperlink ref="AZ114" r:id="rId70" xr:uid="{00000000-0004-0000-0000-000045000000}"/>
    <hyperlink ref="AS117" r:id="rId71" xr:uid="{00000000-0004-0000-0000-000046000000}"/>
    <hyperlink ref="AZ117" r:id="rId72" xr:uid="{00000000-0004-0000-0000-000047000000}"/>
    <hyperlink ref="AZ118" r:id="rId73" xr:uid="{00000000-0004-0000-0000-000048000000}"/>
    <hyperlink ref="AS119" r:id="rId74" xr:uid="{00000000-0004-0000-0000-000049000000}"/>
    <hyperlink ref="AZ119" r:id="rId75" xr:uid="{00000000-0004-0000-0000-00004A000000}"/>
    <hyperlink ref="AZ123" r:id="rId76" xr:uid="{00000000-0004-0000-0000-00004B000000}"/>
    <hyperlink ref="AZ124" r:id="rId77" xr:uid="{00000000-0004-0000-0000-00004C000000}"/>
    <hyperlink ref="AZ125" r:id="rId78" xr:uid="{00000000-0004-0000-0000-00004D000000}"/>
    <hyperlink ref="AZ126" r:id="rId79" xr:uid="{00000000-0004-0000-0000-00004E000000}"/>
    <hyperlink ref="AZ127" r:id="rId80" xr:uid="{00000000-0004-0000-0000-00004F000000}"/>
    <hyperlink ref="AZ128" r:id="rId81" xr:uid="{00000000-0004-0000-0000-000050000000}"/>
    <hyperlink ref="AS130" r:id="rId82" xr:uid="{00000000-0004-0000-0000-000051000000}"/>
    <hyperlink ref="AZ130" r:id="rId83" xr:uid="{00000000-0004-0000-0000-000052000000}"/>
    <hyperlink ref="AZ142" r:id="rId84" xr:uid="{00000000-0004-0000-0000-000053000000}"/>
    <hyperlink ref="AZ148" r:id="rId85" xr:uid="{00000000-0004-0000-0000-000054000000}"/>
    <hyperlink ref="AZ149" r:id="rId86" xr:uid="{00000000-0004-0000-0000-000055000000}"/>
    <hyperlink ref="AZ150" r:id="rId87" xr:uid="{00000000-0004-0000-0000-000056000000}"/>
    <hyperlink ref="AZ156" r:id="rId88" xr:uid="{00000000-0004-0000-0000-000057000000}"/>
    <hyperlink ref="L159" r:id="rId89" xr:uid="{00000000-0004-0000-0000-000058000000}"/>
    <hyperlink ref="AZ159" r:id="rId90" xr:uid="{00000000-0004-0000-0000-000059000000}"/>
    <hyperlink ref="AZ161" r:id="rId91" xr:uid="{00000000-0004-0000-0000-00005A000000}"/>
    <hyperlink ref="L162" r:id="rId92" xr:uid="{00000000-0004-0000-0000-00005B000000}"/>
    <hyperlink ref="AZ162" r:id="rId93" xr:uid="{00000000-0004-0000-0000-00005C000000}"/>
    <hyperlink ref="AZ165" r:id="rId94" xr:uid="{00000000-0004-0000-0000-00005D000000}"/>
    <hyperlink ref="AZ166" r:id="rId95" xr:uid="{00000000-0004-0000-0000-00005E000000}"/>
    <hyperlink ref="AS168" r:id="rId96" xr:uid="{00000000-0004-0000-0000-00005F000000}"/>
    <hyperlink ref="AZ168" r:id="rId97" xr:uid="{00000000-0004-0000-0000-000060000000}"/>
    <hyperlink ref="L174" r:id="rId98" xr:uid="{00000000-0004-0000-0000-000061000000}"/>
    <hyperlink ref="AZ174" r:id="rId99" xr:uid="{00000000-0004-0000-0000-000062000000}"/>
    <hyperlink ref="L176" r:id="rId100" xr:uid="{00000000-0004-0000-0000-000063000000}"/>
    <hyperlink ref="AZ176" r:id="rId101" xr:uid="{00000000-0004-0000-0000-000064000000}"/>
    <hyperlink ref="AZ178" r:id="rId102" xr:uid="{00000000-0004-0000-0000-000065000000}"/>
    <hyperlink ref="AZ179" r:id="rId103" xr:uid="{00000000-0004-0000-0000-000066000000}"/>
    <hyperlink ref="AS180" r:id="rId104" xr:uid="{00000000-0004-0000-0000-000067000000}"/>
    <hyperlink ref="AZ180" r:id="rId105" xr:uid="{00000000-0004-0000-0000-000068000000}"/>
    <hyperlink ref="AZ181" r:id="rId106" xr:uid="{00000000-0004-0000-0000-000069000000}"/>
    <hyperlink ref="AS184" r:id="rId107" xr:uid="{00000000-0004-0000-0000-00006A000000}"/>
    <hyperlink ref="AZ184" r:id="rId108" xr:uid="{00000000-0004-0000-0000-00006B000000}"/>
    <hyperlink ref="AZ188" r:id="rId109" xr:uid="{00000000-0004-0000-0000-00006C000000}"/>
    <hyperlink ref="AZ189" r:id="rId110" xr:uid="{00000000-0004-0000-0000-00006D000000}"/>
    <hyperlink ref="AZ190" r:id="rId111" xr:uid="{00000000-0004-0000-0000-00006E000000}"/>
    <hyperlink ref="AZ191" r:id="rId112" xr:uid="{00000000-0004-0000-0000-00006F000000}"/>
    <hyperlink ref="L192" r:id="rId113" xr:uid="{00000000-0004-0000-0000-000070000000}"/>
    <hyperlink ref="AZ192" r:id="rId114" xr:uid="{00000000-0004-0000-0000-000071000000}"/>
    <hyperlink ref="AZ193" r:id="rId115" xr:uid="{00000000-0004-0000-0000-000072000000}"/>
    <hyperlink ref="AZ195" r:id="rId116" xr:uid="{00000000-0004-0000-0000-000073000000}"/>
    <hyperlink ref="AZ200" r:id="rId117" xr:uid="{00000000-0004-0000-0000-000074000000}"/>
    <hyperlink ref="AS201" r:id="rId118" xr:uid="{00000000-0004-0000-0000-000075000000}"/>
    <hyperlink ref="AZ201" r:id="rId119" xr:uid="{00000000-0004-0000-0000-000076000000}"/>
    <hyperlink ref="AZ202" r:id="rId120" xr:uid="{00000000-0004-0000-0000-000077000000}"/>
    <hyperlink ref="AZ204" r:id="rId121" xr:uid="{00000000-0004-0000-0000-000078000000}"/>
    <hyperlink ref="AZ207" r:id="rId122" xr:uid="{00000000-0004-0000-0000-000079000000}"/>
    <hyperlink ref="AZ208" r:id="rId123" xr:uid="{00000000-0004-0000-0000-00007A000000}"/>
    <hyperlink ref="AZ209" r:id="rId124" xr:uid="{00000000-0004-0000-0000-00007B000000}"/>
    <hyperlink ref="AZ210" r:id="rId125" xr:uid="{00000000-0004-0000-0000-00007C000000}"/>
    <hyperlink ref="AZ211" r:id="rId126" xr:uid="{00000000-0004-0000-0000-00007D000000}"/>
    <hyperlink ref="AZ212" r:id="rId127" xr:uid="{00000000-0004-0000-0000-00007E000000}"/>
    <hyperlink ref="AZ215" r:id="rId128" xr:uid="{00000000-0004-0000-0000-00007F000000}"/>
    <hyperlink ref="AZ218" r:id="rId129" xr:uid="{00000000-0004-0000-0000-000080000000}"/>
    <hyperlink ref="AZ219" r:id="rId130" xr:uid="{00000000-0004-0000-0000-000081000000}"/>
    <hyperlink ref="AZ220" r:id="rId131" xr:uid="{00000000-0004-0000-0000-000082000000}"/>
    <hyperlink ref="AZ221" r:id="rId132" xr:uid="{00000000-0004-0000-0000-000083000000}"/>
    <hyperlink ref="AZ227" r:id="rId133" xr:uid="{00000000-0004-0000-0000-000084000000}"/>
    <hyperlink ref="AZ229" r:id="rId134" xr:uid="{00000000-0004-0000-0000-000085000000}"/>
    <hyperlink ref="AT231" r:id="rId135" xr:uid="{00000000-0004-0000-0000-000086000000}"/>
    <hyperlink ref="AZ234" r:id="rId136" xr:uid="{00000000-0004-0000-0000-000087000000}"/>
    <hyperlink ref="AZ235" r:id="rId137" xr:uid="{00000000-0004-0000-0000-000088000000}"/>
    <hyperlink ref="AZ236" r:id="rId138" xr:uid="{00000000-0004-0000-0000-000089000000}"/>
    <hyperlink ref="L238" r:id="rId139" xr:uid="{00000000-0004-0000-0000-00008A000000}"/>
    <hyperlink ref="AZ238" r:id="rId140" xr:uid="{00000000-0004-0000-0000-00008B000000}"/>
    <hyperlink ref="AZ239" r:id="rId141" xr:uid="{00000000-0004-0000-0000-00008C000000}"/>
    <hyperlink ref="AZ240" r:id="rId142" xr:uid="{00000000-0004-0000-0000-00008D000000}"/>
    <hyperlink ref="AZ243" r:id="rId143" xr:uid="{00000000-0004-0000-0000-00008E000000}"/>
    <hyperlink ref="AZ246" r:id="rId144" xr:uid="{00000000-0004-0000-0000-00008F000000}"/>
    <hyperlink ref="AZ247" r:id="rId145" xr:uid="{00000000-0004-0000-0000-000090000000}"/>
    <hyperlink ref="AT251" r:id="rId146" xr:uid="{00000000-0004-0000-0000-000091000000}"/>
    <hyperlink ref="AT252" r:id="rId147" xr:uid="{00000000-0004-0000-0000-000092000000}"/>
    <hyperlink ref="AZ253" r:id="rId148" xr:uid="{00000000-0004-0000-0000-000093000000}"/>
    <hyperlink ref="AZ254" r:id="rId149" xr:uid="{00000000-0004-0000-0000-000094000000}"/>
    <hyperlink ref="AZ258" r:id="rId150" xr:uid="{00000000-0004-0000-0000-000095000000}"/>
    <hyperlink ref="L261" r:id="rId151" xr:uid="{00000000-0004-0000-0000-000096000000}"/>
    <hyperlink ref="AZ261" r:id="rId152" xr:uid="{00000000-0004-0000-0000-000097000000}"/>
    <hyperlink ref="AZ263" r:id="rId153" xr:uid="{00000000-0004-0000-0000-000098000000}"/>
    <hyperlink ref="AZ265" r:id="rId154" xr:uid="{00000000-0004-0000-0000-000099000000}"/>
    <hyperlink ref="AZ266" r:id="rId155" xr:uid="{00000000-0004-0000-0000-00009A000000}"/>
    <hyperlink ref="AT268" r:id="rId156" xr:uid="{00000000-0004-0000-0000-00009B000000}"/>
    <hyperlink ref="AZ270" r:id="rId157" xr:uid="{00000000-0004-0000-0000-00009C000000}"/>
    <hyperlink ref="AZ272" r:id="rId158" xr:uid="{00000000-0004-0000-0000-00009D000000}"/>
    <hyperlink ref="AZ273" r:id="rId159" xr:uid="{00000000-0004-0000-0000-00009E000000}"/>
    <hyperlink ref="L274" r:id="rId160" xr:uid="{00000000-0004-0000-0000-00009F000000}"/>
    <hyperlink ref="AZ274" r:id="rId161" xr:uid="{00000000-0004-0000-0000-0000A0000000}"/>
    <hyperlink ref="AZ276" r:id="rId162" xr:uid="{00000000-0004-0000-0000-0000A1000000}"/>
    <hyperlink ref="AS277" r:id="rId163" xr:uid="{00000000-0004-0000-0000-0000A2000000}"/>
    <hyperlink ref="AZ277" r:id="rId164" xr:uid="{00000000-0004-0000-0000-0000A3000000}"/>
    <hyperlink ref="L278" r:id="rId165" xr:uid="{00000000-0004-0000-0000-0000A4000000}"/>
    <hyperlink ref="AZ278" r:id="rId166" xr:uid="{00000000-0004-0000-0000-0000A5000000}"/>
    <hyperlink ref="L279" r:id="rId167" xr:uid="{00000000-0004-0000-0000-0000A6000000}"/>
    <hyperlink ref="AZ279" r:id="rId168" xr:uid="{00000000-0004-0000-0000-0000A7000000}"/>
    <hyperlink ref="L283" r:id="rId169" xr:uid="{00000000-0004-0000-0000-0000A8000000}"/>
    <hyperlink ref="AZ283" r:id="rId170" xr:uid="{00000000-0004-0000-0000-0000A9000000}"/>
    <hyperlink ref="L284" r:id="rId171" xr:uid="{00000000-0004-0000-0000-0000AA000000}"/>
    <hyperlink ref="AZ284" r:id="rId172" xr:uid="{00000000-0004-0000-0000-0000AB000000}"/>
    <hyperlink ref="L285" r:id="rId173" xr:uid="{00000000-0004-0000-0000-0000AC000000}"/>
    <hyperlink ref="AZ285" r:id="rId174" xr:uid="{00000000-0004-0000-0000-0000AD000000}"/>
    <hyperlink ref="L286" r:id="rId175" xr:uid="{00000000-0004-0000-0000-0000AE000000}"/>
    <hyperlink ref="AZ286" r:id="rId176" xr:uid="{00000000-0004-0000-0000-0000AF000000}"/>
    <hyperlink ref="L287" r:id="rId177" xr:uid="{00000000-0004-0000-0000-0000B0000000}"/>
    <hyperlink ref="AZ287" r:id="rId178" xr:uid="{00000000-0004-0000-0000-0000B1000000}"/>
    <hyperlink ref="L288" r:id="rId179" xr:uid="{00000000-0004-0000-0000-0000B2000000}"/>
    <hyperlink ref="AZ288" r:id="rId180" xr:uid="{00000000-0004-0000-0000-0000B3000000}"/>
    <hyperlink ref="L289" r:id="rId181" xr:uid="{00000000-0004-0000-0000-0000B4000000}"/>
    <hyperlink ref="AZ289" r:id="rId182" xr:uid="{00000000-0004-0000-0000-0000B5000000}"/>
    <hyperlink ref="L290" r:id="rId183" xr:uid="{00000000-0004-0000-0000-0000B6000000}"/>
    <hyperlink ref="AF290" r:id="rId184" xr:uid="{00000000-0004-0000-0000-0000B7000000}"/>
    <hyperlink ref="AZ290" r:id="rId185" xr:uid="{00000000-0004-0000-0000-0000B8000000}"/>
    <hyperlink ref="L291" r:id="rId186" xr:uid="{00000000-0004-0000-0000-0000B9000000}"/>
    <hyperlink ref="AZ291" r:id="rId187" xr:uid="{00000000-0004-0000-0000-0000BA000000}"/>
    <hyperlink ref="L292" r:id="rId188" xr:uid="{00000000-0004-0000-0000-0000BB000000}"/>
    <hyperlink ref="AZ292" r:id="rId189" xr:uid="{00000000-0004-0000-0000-0000BC000000}"/>
    <hyperlink ref="L293" r:id="rId190" xr:uid="{00000000-0004-0000-0000-0000BD000000}"/>
    <hyperlink ref="AZ293" r:id="rId191" xr:uid="{00000000-0004-0000-0000-0000BE000000}"/>
    <hyperlink ref="L294" r:id="rId192" xr:uid="{00000000-0004-0000-0000-0000BF000000}"/>
    <hyperlink ref="AZ294" r:id="rId193" xr:uid="{00000000-0004-0000-0000-0000C0000000}"/>
    <hyperlink ref="T296" r:id="rId194" xr:uid="{00000000-0004-0000-0000-0000C1000000}"/>
    <hyperlink ref="AZ296" r:id="rId195" xr:uid="{00000000-0004-0000-0000-0000C2000000}"/>
    <hyperlink ref="AZ298" r:id="rId196" xr:uid="{00000000-0004-0000-0000-0000C3000000}"/>
    <hyperlink ref="AZ299" r:id="rId197" xr:uid="{00000000-0004-0000-0000-0000C4000000}"/>
    <hyperlink ref="AZ300" r:id="rId198" xr:uid="{00000000-0004-0000-0000-0000C5000000}"/>
    <hyperlink ref="AZ302" r:id="rId199" xr:uid="{00000000-0004-0000-0000-0000C6000000}"/>
    <hyperlink ref="AZ308" r:id="rId200" xr:uid="{00000000-0004-0000-0000-0000C7000000}"/>
    <hyperlink ref="AZ309" r:id="rId201" xr:uid="{00000000-0004-0000-0000-0000C8000000}"/>
    <hyperlink ref="AZ310" r:id="rId202" xr:uid="{00000000-0004-0000-0000-0000C9000000}"/>
    <hyperlink ref="AZ314" r:id="rId203" xr:uid="{00000000-0004-0000-0000-0000CA000000}"/>
    <hyperlink ref="L318" r:id="rId204" xr:uid="{00000000-0004-0000-0000-0000CB000000}"/>
    <hyperlink ref="AZ318" r:id="rId205" xr:uid="{00000000-0004-0000-0000-0000CC000000}"/>
    <hyperlink ref="AZ320" r:id="rId206" xr:uid="{00000000-0004-0000-0000-0000CD000000}"/>
    <hyperlink ref="AZ321" r:id="rId207" xr:uid="{00000000-0004-0000-0000-0000CE000000}"/>
    <hyperlink ref="AZ322" r:id="rId208" xr:uid="{00000000-0004-0000-0000-0000CF000000}"/>
    <hyperlink ref="AZ323" r:id="rId209" xr:uid="{00000000-0004-0000-0000-0000D0000000}"/>
    <hyperlink ref="T324" r:id="rId210" xr:uid="{00000000-0004-0000-0000-0000D1000000}"/>
    <hyperlink ref="AZ324" r:id="rId211" xr:uid="{00000000-0004-0000-0000-0000D2000000}"/>
    <hyperlink ref="AZ326" r:id="rId212" xr:uid="{00000000-0004-0000-0000-0000D3000000}"/>
    <hyperlink ref="AZ328" r:id="rId213" xr:uid="{00000000-0004-0000-0000-0000D4000000}"/>
    <hyperlink ref="AT330" r:id="rId214" xr:uid="{00000000-0004-0000-0000-0000D5000000}"/>
    <hyperlink ref="AZ333" r:id="rId215" xr:uid="{00000000-0004-0000-0000-0000D6000000}"/>
    <hyperlink ref="AZ335" r:id="rId216" xr:uid="{00000000-0004-0000-0000-0000D7000000}"/>
    <hyperlink ref="AZ336" r:id="rId217" xr:uid="{00000000-0004-0000-0000-0000D8000000}"/>
    <hyperlink ref="AZ341" r:id="rId218" xr:uid="{00000000-0004-0000-0000-0000D9000000}"/>
    <hyperlink ref="AZ342" r:id="rId219" xr:uid="{00000000-0004-0000-0000-0000DA000000}"/>
    <hyperlink ref="AZ343" r:id="rId220" xr:uid="{00000000-0004-0000-0000-0000DB000000}"/>
    <hyperlink ref="AZ345" r:id="rId221" xr:uid="{00000000-0004-0000-0000-0000DC000000}"/>
    <hyperlink ref="AZ347" r:id="rId222" xr:uid="{00000000-0004-0000-0000-0000DD000000}"/>
    <hyperlink ref="AZ348" r:id="rId223" xr:uid="{00000000-0004-0000-0000-0000DE000000}"/>
    <hyperlink ref="AS349" r:id="rId224" xr:uid="{00000000-0004-0000-0000-0000DF000000}"/>
    <hyperlink ref="AZ349" r:id="rId225" xr:uid="{00000000-0004-0000-0000-0000E0000000}"/>
    <hyperlink ref="AS350" r:id="rId226" xr:uid="{00000000-0004-0000-0000-0000E1000000}"/>
    <hyperlink ref="AZ350" r:id="rId227" xr:uid="{00000000-0004-0000-0000-0000E2000000}"/>
    <hyperlink ref="AZ354" r:id="rId228" xr:uid="{00000000-0004-0000-0000-0000E3000000}"/>
    <hyperlink ref="X356" r:id="rId229" xr:uid="{00000000-0004-0000-0000-0000E4000000}"/>
    <hyperlink ref="AZ356" r:id="rId230" xr:uid="{00000000-0004-0000-0000-0000E5000000}"/>
    <hyperlink ref="AZ358" r:id="rId231" xr:uid="{00000000-0004-0000-0000-0000E6000000}"/>
    <hyperlink ref="AT359" r:id="rId232" xr:uid="{00000000-0004-0000-0000-0000E7000000}"/>
    <hyperlink ref="L360" r:id="rId233" xr:uid="{00000000-0004-0000-0000-0000E8000000}"/>
    <hyperlink ref="AZ360" r:id="rId234" xr:uid="{00000000-0004-0000-0000-0000E9000000}"/>
    <hyperlink ref="AZ362" r:id="rId235" xr:uid="{00000000-0004-0000-0000-0000EA000000}"/>
    <hyperlink ref="AZ363" r:id="rId236" xr:uid="{00000000-0004-0000-0000-0000EB000000}"/>
    <hyperlink ref="AZ368" r:id="rId237" xr:uid="{00000000-0004-0000-0000-0000EC000000}"/>
    <hyperlink ref="AZ370" r:id="rId238" xr:uid="{00000000-0004-0000-0000-0000ED000000}"/>
    <hyperlink ref="AZ372" r:id="rId239" xr:uid="{00000000-0004-0000-0000-0000EE000000}"/>
    <hyperlink ref="AZ373" r:id="rId240" xr:uid="{00000000-0004-0000-0000-0000EF000000}"/>
    <hyperlink ref="AZ374" r:id="rId241" xr:uid="{00000000-0004-0000-0000-0000F0000000}"/>
    <hyperlink ref="L375" r:id="rId242" xr:uid="{00000000-0004-0000-0000-0000F1000000}"/>
    <hyperlink ref="AZ375" r:id="rId243" xr:uid="{00000000-0004-0000-0000-0000F2000000}"/>
    <hyperlink ref="AZ377" r:id="rId244" xr:uid="{00000000-0004-0000-0000-0000F3000000}"/>
    <hyperlink ref="AZ380" r:id="rId245" xr:uid="{00000000-0004-0000-0000-0000F4000000}"/>
    <hyperlink ref="AZ381" r:id="rId246" xr:uid="{00000000-0004-0000-0000-0000F5000000}"/>
    <hyperlink ref="AS385" r:id="rId247" xr:uid="{00000000-0004-0000-0000-0000F6000000}"/>
    <hyperlink ref="AZ385" r:id="rId248" xr:uid="{00000000-0004-0000-0000-0000F7000000}"/>
    <hyperlink ref="L386" r:id="rId249" xr:uid="{00000000-0004-0000-0000-0000F8000000}"/>
    <hyperlink ref="AZ386" r:id="rId250" xr:uid="{00000000-0004-0000-0000-0000F9000000}"/>
    <hyperlink ref="AZ388" r:id="rId251" xr:uid="{00000000-0004-0000-0000-0000FA000000}"/>
    <hyperlink ref="AZ390" r:id="rId252" xr:uid="{00000000-0004-0000-0000-0000FB000000}"/>
    <hyperlink ref="AZ394" r:id="rId253" xr:uid="{00000000-0004-0000-0000-0000FC000000}"/>
    <hyperlink ref="AZ395" r:id="rId254" xr:uid="{00000000-0004-0000-0000-0000FD000000}"/>
    <hyperlink ref="AZ397" r:id="rId255" xr:uid="{00000000-0004-0000-0000-0000FE000000}"/>
    <hyperlink ref="AZ399" r:id="rId256" xr:uid="{00000000-0004-0000-0000-0000FF000000}"/>
    <hyperlink ref="AZ402" r:id="rId257" xr:uid="{00000000-0004-0000-0000-000000010000}"/>
    <hyperlink ref="AZ407" r:id="rId258" xr:uid="{00000000-0004-0000-0000-000001010000}"/>
    <hyperlink ref="AZ409" r:id="rId259" xr:uid="{00000000-0004-0000-0000-000002010000}"/>
    <hyperlink ref="AZ410" r:id="rId260" xr:uid="{00000000-0004-0000-0000-000003010000}"/>
    <hyperlink ref="AZ412" r:id="rId261" xr:uid="{00000000-0004-0000-0000-000004010000}"/>
    <hyperlink ref="AZ414" r:id="rId262" xr:uid="{00000000-0004-0000-0000-000005010000}"/>
    <hyperlink ref="L419" r:id="rId263" xr:uid="{00000000-0004-0000-0000-000006010000}"/>
    <hyperlink ref="AZ419" r:id="rId264" xr:uid="{00000000-0004-0000-0000-000007010000}"/>
    <hyperlink ref="AZ420" r:id="rId265" xr:uid="{00000000-0004-0000-0000-000008010000}"/>
    <hyperlink ref="AS421" r:id="rId266" xr:uid="{00000000-0004-0000-0000-000009010000}"/>
    <hyperlink ref="AZ421" r:id="rId267" xr:uid="{00000000-0004-0000-0000-00000A010000}"/>
    <hyperlink ref="AZ422" r:id="rId268" xr:uid="{00000000-0004-0000-0000-00000B010000}"/>
    <hyperlink ref="AS426" r:id="rId269" xr:uid="{00000000-0004-0000-0000-00000C010000}"/>
    <hyperlink ref="AZ426" r:id="rId270" xr:uid="{00000000-0004-0000-0000-00000D010000}"/>
    <hyperlink ref="AZ427" r:id="rId271" xr:uid="{00000000-0004-0000-0000-00000E010000}"/>
    <hyperlink ref="AS428" r:id="rId272" xr:uid="{00000000-0004-0000-0000-00000F010000}"/>
    <hyperlink ref="AZ428" r:id="rId273" xr:uid="{00000000-0004-0000-0000-000010010000}"/>
    <hyperlink ref="AZ429" r:id="rId274" xr:uid="{00000000-0004-0000-0000-000011010000}"/>
    <hyperlink ref="AZ430" r:id="rId275" xr:uid="{00000000-0004-0000-0000-000012010000}"/>
    <hyperlink ref="AZ431" r:id="rId276" xr:uid="{00000000-0004-0000-0000-000013010000}"/>
    <hyperlink ref="AZ436" r:id="rId277" xr:uid="{00000000-0004-0000-0000-000014010000}"/>
    <hyperlink ref="AZ437" r:id="rId278" xr:uid="{00000000-0004-0000-0000-000015010000}"/>
    <hyperlink ref="AZ438" r:id="rId279" xr:uid="{00000000-0004-0000-0000-000016010000}"/>
    <hyperlink ref="AS442" r:id="rId280" xr:uid="{00000000-0004-0000-0000-000017010000}"/>
    <hyperlink ref="AZ442" r:id="rId281" xr:uid="{00000000-0004-0000-0000-000018010000}"/>
    <hyperlink ref="AZ443" r:id="rId282" xr:uid="{00000000-0004-0000-0000-000019010000}"/>
    <hyperlink ref="AZ444" r:id="rId283" xr:uid="{00000000-0004-0000-0000-00001A010000}"/>
    <hyperlink ref="AZ449" r:id="rId284" xr:uid="{00000000-0004-0000-0000-00001B010000}"/>
    <hyperlink ref="AZ450" r:id="rId285" xr:uid="{00000000-0004-0000-0000-00001C010000}"/>
    <hyperlink ref="AZ451" r:id="rId286" xr:uid="{00000000-0004-0000-0000-00001D010000}"/>
    <hyperlink ref="AZ458" r:id="rId287" xr:uid="{00000000-0004-0000-0000-00001E010000}"/>
    <hyperlink ref="AF459" r:id="rId288" xr:uid="{00000000-0004-0000-0000-00001F010000}"/>
    <hyperlink ref="AZ460" r:id="rId289" xr:uid="{00000000-0004-0000-0000-000020010000}"/>
    <hyperlink ref="AZ463" r:id="rId290" xr:uid="{00000000-0004-0000-0000-000021010000}"/>
    <hyperlink ref="L466" r:id="rId291" xr:uid="{00000000-0004-0000-0000-000022010000}"/>
    <hyperlink ref="AZ466" r:id="rId292" xr:uid="{00000000-0004-0000-0000-000023010000}"/>
    <hyperlink ref="AS468" r:id="rId293" xr:uid="{00000000-0004-0000-0000-000024010000}"/>
    <hyperlink ref="AZ468" r:id="rId294" xr:uid="{00000000-0004-0000-0000-000025010000}"/>
    <hyperlink ref="AZ469" r:id="rId295" xr:uid="{00000000-0004-0000-0000-000026010000}"/>
    <hyperlink ref="AZ471" r:id="rId296" xr:uid="{00000000-0004-0000-0000-000027010000}"/>
    <hyperlink ref="L473" r:id="rId297" xr:uid="{00000000-0004-0000-0000-000028010000}"/>
    <hyperlink ref="AZ473" r:id="rId298" xr:uid="{00000000-0004-0000-0000-000029010000}"/>
    <hyperlink ref="L474" r:id="rId299" xr:uid="{00000000-0004-0000-0000-00002A010000}"/>
    <hyperlink ref="AZ474" r:id="rId300" xr:uid="{00000000-0004-0000-0000-00002B010000}"/>
    <hyperlink ref="AS475" r:id="rId301" xr:uid="{00000000-0004-0000-0000-00002C010000}"/>
    <hyperlink ref="AZ475" r:id="rId302" xr:uid="{00000000-0004-0000-0000-00002D010000}"/>
    <hyperlink ref="AZ476" r:id="rId303" xr:uid="{00000000-0004-0000-0000-00002E010000}"/>
    <hyperlink ref="L477" r:id="rId304" xr:uid="{00000000-0004-0000-0000-00002F010000}"/>
    <hyperlink ref="AT477" r:id="rId305" xr:uid="{00000000-0004-0000-0000-000030010000}"/>
    <hyperlink ref="AZ477" r:id="rId306" xr:uid="{00000000-0004-0000-0000-000031010000}"/>
    <hyperlink ref="AZ478" r:id="rId307" xr:uid="{00000000-0004-0000-0000-000032010000}"/>
    <hyperlink ref="AZ479" r:id="rId308" xr:uid="{00000000-0004-0000-0000-000033010000}"/>
    <hyperlink ref="AZ482" r:id="rId309" xr:uid="{00000000-0004-0000-0000-000034010000}"/>
    <hyperlink ref="AS483" r:id="rId310" xr:uid="{00000000-0004-0000-0000-000035010000}"/>
    <hyperlink ref="AZ483" r:id="rId311" xr:uid="{00000000-0004-0000-0000-000036010000}"/>
    <hyperlink ref="AS484" r:id="rId312" xr:uid="{00000000-0004-0000-0000-000037010000}"/>
    <hyperlink ref="AZ484" r:id="rId313" xr:uid="{00000000-0004-0000-0000-000038010000}"/>
    <hyperlink ref="AZ487" r:id="rId314" xr:uid="{00000000-0004-0000-0000-000039010000}"/>
    <hyperlink ref="L488" r:id="rId315" xr:uid="{00000000-0004-0000-0000-00003A010000}"/>
    <hyperlink ref="AZ488" r:id="rId316" xr:uid="{00000000-0004-0000-0000-00003B010000}"/>
    <hyperlink ref="L489" r:id="rId317" xr:uid="{00000000-0004-0000-0000-00003C010000}"/>
    <hyperlink ref="AZ489" r:id="rId318" xr:uid="{00000000-0004-0000-0000-00003D010000}"/>
    <hyperlink ref="L491" r:id="rId319" xr:uid="{00000000-0004-0000-0000-00003E010000}"/>
    <hyperlink ref="AZ491" r:id="rId320" xr:uid="{00000000-0004-0000-0000-00003F010000}"/>
    <hyperlink ref="AZ492" r:id="rId321" xr:uid="{00000000-0004-0000-0000-000040010000}"/>
    <hyperlink ref="AZ493" r:id="rId322" xr:uid="{00000000-0004-0000-0000-000041010000}"/>
    <hyperlink ref="AZ495" r:id="rId323" xr:uid="{00000000-0004-0000-0000-000042010000}"/>
    <hyperlink ref="AZ498" r:id="rId324" xr:uid="{00000000-0004-0000-0000-000043010000}"/>
    <hyperlink ref="AT502" r:id="rId325" xr:uid="{00000000-0004-0000-0000-000044010000}"/>
    <hyperlink ref="AZ511" r:id="rId326" xr:uid="{00000000-0004-0000-0000-000045010000}"/>
    <hyperlink ref="AS517" r:id="rId327" xr:uid="{00000000-0004-0000-0000-000046010000}"/>
    <hyperlink ref="AZ517" r:id="rId328" xr:uid="{00000000-0004-0000-0000-000047010000}"/>
    <hyperlink ref="AZ518" r:id="rId329" xr:uid="{00000000-0004-0000-0000-000048010000}"/>
    <hyperlink ref="AU519" r:id="rId330" xr:uid="{00000000-0004-0000-0000-000049010000}"/>
    <hyperlink ref="AZ519" r:id="rId331" xr:uid="{00000000-0004-0000-0000-00004A010000}"/>
    <hyperlink ref="AZ522" r:id="rId332" xr:uid="{00000000-0004-0000-0000-00004B010000}"/>
    <hyperlink ref="AZ523" r:id="rId333" xr:uid="{00000000-0004-0000-0000-00004C010000}"/>
    <hyperlink ref="AZ524" r:id="rId334" xr:uid="{00000000-0004-0000-0000-00004D010000}"/>
    <hyperlink ref="AS528" r:id="rId335" xr:uid="{00000000-0004-0000-0000-00004E010000}"/>
    <hyperlink ref="AZ528" r:id="rId336" xr:uid="{00000000-0004-0000-0000-00004F010000}"/>
    <hyperlink ref="AS529" r:id="rId337" xr:uid="{00000000-0004-0000-0000-000050010000}"/>
    <hyperlink ref="AZ529" r:id="rId338" xr:uid="{00000000-0004-0000-0000-000051010000}"/>
    <hyperlink ref="AZ531" r:id="rId339" xr:uid="{00000000-0004-0000-0000-000052010000}"/>
    <hyperlink ref="L532" r:id="rId340" xr:uid="{00000000-0004-0000-0000-000053010000}"/>
    <hyperlink ref="AZ532" r:id="rId341" xr:uid="{00000000-0004-0000-0000-000054010000}"/>
    <hyperlink ref="AZ535" r:id="rId342" xr:uid="{00000000-0004-0000-0000-000055010000}"/>
    <hyperlink ref="AZ536" r:id="rId343" xr:uid="{00000000-0004-0000-0000-000056010000}"/>
    <hyperlink ref="AZ538" r:id="rId344" xr:uid="{00000000-0004-0000-0000-000057010000}"/>
    <hyperlink ref="AZ541" r:id="rId345" xr:uid="{00000000-0004-0000-0000-000058010000}"/>
    <hyperlink ref="AZ543" r:id="rId346" xr:uid="{00000000-0004-0000-0000-000059010000}"/>
    <hyperlink ref="AZ547" r:id="rId347" xr:uid="{00000000-0004-0000-0000-00005A010000}"/>
    <hyperlink ref="AZ549" r:id="rId348" xr:uid="{00000000-0004-0000-0000-00005B010000}"/>
    <hyperlink ref="L551" r:id="rId349" xr:uid="{00000000-0004-0000-0000-00005C010000}"/>
    <hyperlink ref="AZ551" r:id="rId350" xr:uid="{00000000-0004-0000-0000-00005D010000}"/>
    <hyperlink ref="AZ554" r:id="rId351" xr:uid="{00000000-0004-0000-0000-00005E010000}"/>
    <hyperlink ref="AZ557" r:id="rId352" xr:uid="{00000000-0004-0000-0000-00005F010000}"/>
    <hyperlink ref="AZ558" r:id="rId353" xr:uid="{00000000-0004-0000-0000-000060010000}"/>
    <hyperlink ref="AZ560" r:id="rId354" xr:uid="{00000000-0004-0000-0000-000061010000}"/>
    <hyperlink ref="AZ563" r:id="rId355" xr:uid="{00000000-0004-0000-0000-000062010000}"/>
    <hyperlink ref="AZ565" r:id="rId356" xr:uid="{00000000-0004-0000-0000-000063010000}"/>
    <hyperlink ref="AS573" r:id="rId357" xr:uid="{00000000-0004-0000-0000-000064010000}"/>
    <hyperlink ref="AZ573" r:id="rId358" xr:uid="{00000000-0004-0000-0000-000065010000}"/>
    <hyperlink ref="T574" r:id="rId359" xr:uid="{00000000-0004-0000-0000-000066010000}"/>
    <hyperlink ref="AZ574" r:id="rId360" xr:uid="{00000000-0004-0000-0000-000067010000}"/>
    <hyperlink ref="T575" r:id="rId361" xr:uid="{00000000-0004-0000-0000-000068010000}"/>
    <hyperlink ref="AZ575" r:id="rId362" xr:uid="{00000000-0004-0000-0000-000069010000}"/>
    <hyperlink ref="AS577" r:id="rId363" xr:uid="{00000000-0004-0000-0000-00006A010000}"/>
    <hyperlink ref="AZ577" r:id="rId364" xr:uid="{00000000-0004-0000-0000-00006B010000}"/>
    <hyperlink ref="L579" r:id="rId365" xr:uid="{00000000-0004-0000-0000-00006C010000}"/>
    <hyperlink ref="AZ579" r:id="rId366" xr:uid="{00000000-0004-0000-0000-00006D010000}"/>
    <hyperlink ref="AZ582" r:id="rId367" xr:uid="{00000000-0004-0000-0000-00006E010000}"/>
    <hyperlink ref="AZ586" r:id="rId368" xr:uid="{00000000-0004-0000-0000-00006F010000}"/>
    <hyperlink ref="AZ588" r:id="rId369" xr:uid="{00000000-0004-0000-0000-000070010000}"/>
    <hyperlink ref="AZ591" r:id="rId370" xr:uid="{00000000-0004-0000-0000-000071010000}"/>
    <hyperlink ref="AZ592" r:id="rId371" xr:uid="{00000000-0004-0000-0000-000072010000}"/>
    <hyperlink ref="AZ594" r:id="rId372" xr:uid="{00000000-0004-0000-0000-000073010000}"/>
    <hyperlink ref="AZ597" r:id="rId373" xr:uid="{00000000-0004-0000-0000-000074010000}"/>
    <hyperlink ref="AS598" r:id="rId374" xr:uid="{00000000-0004-0000-0000-000075010000}"/>
    <hyperlink ref="AZ598" r:id="rId375" xr:uid="{00000000-0004-0000-0000-000076010000}"/>
    <hyperlink ref="AS599" r:id="rId376" xr:uid="{00000000-0004-0000-0000-000077010000}"/>
    <hyperlink ref="AZ599" r:id="rId377" xr:uid="{00000000-0004-0000-0000-000078010000}"/>
    <hyperlink ref="AS600" r:id="rId378" xr:uid="{00000000-0004-0000-0000-000079010000}"/>
    <hyperlink ref="AZ600" r:id="rId379" xr:uid="{00000000-0004-0000-0000-00007A010000}"/>
    <hyperlink ref="AZ601" r:id="rId380" xr:uid="{00000000-0004-0000-0000-00007B010000}"/>
    <hyperlink ref="AZ602" r:id="rId381" xr:uid="{00000000-0004-0000-0000-00007C010000}"/>
    <hyperlink ref="T603" r:id="rId382" xr:uid="{00000000-0004-0000-0000-00007D010000}"/>
    <hyperlink ref="AS607" r:id="rId383" xr:uid="{00000000-0004-0000-0000-00007E010000}"/>
    <hyperlink ref="AZ607" r:id="rId384" xr:uid="{00000000-0004-0000-0000-00007F010000}"/>
    <hyperlink ref="AZ608" r:id="rId385" xr:uid="{00000000-0004-0000-0000-000080010000}"/>
    <hyperlink ref="AZ609" r:id="rId386" xr:uid="{00000000-0004-0000-0000-000081010000}"/>
    <hyperlink ref="AZ610" r:id="rId387" xr:uid="{00000000-0004-0000-0000-000082010000}"/>
    <hyperlink ref="G611" r:id="rId388" xr:uid="{00000000-0004-0000-0000-000083010000}"/>
    <hyperlink ref="AZ611" r:id="rId389" xr:uid="{00000000-0004-0000-0000-000084010000}"/>
    <hyperlink ref="AZ612" r:id="rId390" xr:uid="{00000000-0004-0000-0000-000085010000}"/>
    <hyperlink ref="AZ613" r:id="rId391" xr:uid="{00000000-0004-0000-0000-000086010000}"/>
    <hyperlink ref="AZ614" r:id="rId392" xr:uid="{00000000-0004-0000-0000-000087010000}"/>
    <hyperlink ref="AZ616" r:id="rId393" xr:uid="{00000000-0004-0000-0000-000088010000}"/>
    <hyperlink ref="AZ617" r:id="rId394" xr:uid="{00000000-0004-0000-0000-000089010000}"/>
    <hyperlink ref="AZ619" r:id="rId395" xr:uid="{00000000-0004-0000-0000-00008A010000}"/>
    <hyperlink ref="AZ622" r:id="rId396" xr:uid="{00000000-0004-0000-0000-00008B010000}"/>
    <hyperlink ref="AZ623" r:id="rId397" xr:uid="{00000000-0004-0000-0000-00008C010000}"/>
    <hyperlink ref="AZ626" r:id="rId398" xr:uid="{00000000-0004-0000-0000-00008D010000}"/>
    <hyperlink ref="AZ628" r:id="rId399" xr:uid="{00000000-0004-0000-0000-00008E010000}"/>
    <hyperlink ref="AS635" r:id="rId400" xr:uid="{00000000-0004-0000-0000-00008F010000}"/>
    <hyperlink ref="AZ635" r:id="rId401" xr:uid="{00000000-0004-0000-0000-000090010000}"/>
    <hyperlink ref="I637" r:id="rId402" xr:uid="{00000000-0004-0000-0000-000091010000}"/>
    <hyperlink ref="AZ638" r:id="rId403" xr:uid="{00000000-0004-0000-0000-000092010000}"/>
    <hyperlink ref="AZ641" r:id="rId404" xr:uid="{00000000-0004-0000-0000-000093010000}"/>
    <hyperlink ref="AZ642" r:id="rId405" xr:uid="{00000000-0004-0000-0000-0000940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combined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Hall, Johnston Patrick</cp:lastModifiedBy>
  <dcterms:modified xsi:type="dcterms:W3CDTF">2026-10-08T13:39:09Z</dcterms:modified>
</cp:coreProperties>
</file>